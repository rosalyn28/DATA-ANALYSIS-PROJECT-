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hidePivotFieldList="1"/>
  <mc:AlternateContent xmlns:mc="http://schemas.openxmlformats.org/markup-compatibility/2006">
    <mc:Choice Requires="x15">
      <x15ac:absPath xmlns:x15ac="http://schemas.microsoft.com/office/spreadsheetml/2010/11/ac" url="D:\Anna Work\"/>
    </mc:Choice>
  </mc:AlternateContent>
  <xr:revisionPtr revIDLastSave="0" documentId="8_{44382789-A1CF-4B50-A142-CA9866A85E45}" xr6:coauthVersionLast="47" xr6:coauthVersionMax="47" xr10:uidLastSave="{00000000-0000-0000-0000-000000000000}"/>
  <bookViews>
    <workbookView xWindow="-108" yWindow="-108" windowWidth="23256" windowHeight="13176" firstSheet="5" activeTab="5" xr2:uid="{364B7B7C-C1E2-43AB-A32A-87427EBC32D3}"/>
  </bookViews>
  <sheets>
    <sheet name="Order sheet" sheetId="1" r:id="rId1"/>
    <sheet name="Order making" sheetId="4" r:id="rId2"/>
    <sheet name="Production Sheet" sheetId="3" r:id="rId3"/>
    <sheet name="Making cost " sheetId="5" r:id="rId4"/>
    <sheet name="Lookup sheet" sheetId="2" state="hidden" r:id="rId5"/>
    <sheet name="Payout Sheet" sheetId="6" r:id="rId6"/>
  </sheets>
  <definedNames>
    <definedName name="_xlnm._FilterDatabase" localSheetId="2" hidden="1">'Production Sheet'!$J$8:$M$11</definedName>
    <definedName name="_xlnm._FilterDatabase" localSheetId="3" hidden="1">'Making cost '!$D$1:$O$29</definedName>
    <definedName name="_xlnm._FilterDatabase" localSheetId="1" hidden="1">'Order making'!$G$6:$G$6</definedName>
  </definedNames>
  <calcPr calcId="191028"/>
  <pivotCaches>
    <pivotCache cacheId="177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E5" i="6"/>
  <c r="D352" i="1"/>
  <c r="E352" i="1"/>
  <c r="H4" i="5"/>
  <c r="D174" i="1"/>
  <c r="E174" i="1" s="1"/>
  <c r="D351" i="1"/>
  <c r="E351" i="1" s="1"/>
  <c r="D350" i="1"/>
  <c r="E350" i="1" s="1"/>
  <c r="D349" i="1"/>
  <c r="E349" i="1" s="1"/>
  <c r="D348" i="1"/>
  <c r="E348" i="1" s="1"/>
  <c r="D347" i="1"/>
  <c r="E347" i="1" s="1"/>
  <c r="D346" i="1"/>
  <c r="E346" i="1" s="1"/>
  <c r="D343" i="1"/>
  <c r="E343" i="1" s="1"/>
  <c r="D344" i="1"/>
  <c r="E344" i="1" s="1"/>
  <c r="D345" i="1"/>
  <c r="E345" i="1" s="1"/>
  <c r="D342" i="1"/>
  <c r="E342" i="1" s="1"/>
  <c r="D341" i="1"/>
  <c r="E341" i="1" s="1"/>
  <c r="D340" i="1"/>
  <c r="E340" i="1" s="1"/>
  <c r="D339" i="1"/>
  <c r="E339" i="1" s="1"/>
  <c r="D195" i="1"/>
  <c r="E195" i="1" s="1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7" i="4"/>
  <c r="F37" i="4"/>
  <c r="D37" i="1"/>
  <c r="E37" i="1" s="1"/>
  <c r="D267" i="1"/>
  <c r="E267" i="1" s="1"/>
  <c r="D253" i="1"/>
  <c r="E253" i="1" s="1"/>
  <c r="D252" i="1"/>
  <c r="E252" i="1" s="1"/>
  <c r="D251" i="1"/>
  <c r="E251" i="1" s="1"/>
  <c r="D128" i="1"/>
  <c r="E128" i="1" s="1"/>
  <c r="D127" i="1"/>
  <c r="E127" i="1" s="1"/>
  <c r="D126" i="1"/>
  <c r="E126" i="1" s="1"/>
  <c r="D125" i="1"/>
  <c r="E125" i="1" s="1"/>
  <c r="D173" i="1"/>
  <c r="E173" i="1" s="1"/>
  <c r="D275" i="1"/>
  <c r="E275" i="1" s="1"/>
  <c r="D274" i="1"/>
  <c r="E274" i="1" s="1"/>
  <c r="D131" i="1"/>
  <c r="E131" i="1" s="1"/>
  <c r="D130" i="1"/>
  <c r="E130" i="1" s="1"/>
  <c r="D129" i="1"/>
  <c r="E129" i="1" s="1"/>
  <c r="D66" i="1"/>
  <c r="E66" i="1" s="1"/>
  <c r="D325" i="1"/>
  <c r="E325" i="1" s="1"/>
  <c r="D178" i="1"/>
  <c r="E178" i="1" s="1"/>
  <c r="D177" i="1"/>
  <c r="E177" i="1" s="1"/>
  <c r="D176" i="1"/>
  <c r="E176" i="1" s="1"/>
  <c r="D175" i="1"/>
  <c r="E175" i="1" s="1"/>
  <c r="D88" i="1"/>
  <c r="E88" i="1" s="1"/>
  <c r="D87" i="1"/>
  <c r="E87" i="1" s="1"/>
  <c r="D86" i="1"/>
  <c r="E86" i="1" s="1"/>
  <c r="D264" i="1"/>
  <c r="E264" i="1" s="1"/>
  <c r="D196" i="1"/>
  <c r="E196" i="1" s="1"/>
  <c r="D163" i="1"/>
  <c r="E163" i="1" s="1"/>
  <c r="D162" i="1"/>
  <c r="E162" i="1" s="1"/>
  <c r="D212" i="1"/>
  <c r="E212" i="1" s="1"/>
  <c r="D319" i="1"/>
  <c r="E319" i="1" s="1"/>
  <c r="D320" i="1"/>
  <c r="E320" i="1" s="1"/>
  <c r="D97" i="1"/>
  <c r="E97" i="1" s="1"/>
  <c r="D95" i="1"/>
  <c r="E95" i="1" s="1"/>
  <c r="D96" i="1"/>
  <c r="E96" i="1" s="1"/>
  <c r="D338" i="1"/>
  <c r="E338" i="1" s="1"/>
  <c r="D335" i="1"/>
  <c r="E335" i="1" s="1"/>
  <c r="D334" i="1"/>
  <c r="E334" i="1" s="1"/>
  <c r="D337" i="1"/>
  <c r="E337" i="1" s="1"/>
  <c r="D336" i="1"/>
  <c r="E336" i="1" s="1"/>
  <c r="D216" i="1"/>
  <c r="E216" i="1" s="1"/>
  <c r="D215" i="1"/>
  <c r="E215" i="1" s="1"/>
  <c r="D217" i="1"/>
  <c r="E217" i="1" s="1"/>
  <c r="D214" i="1"/>
  <c r="E214" i="1" s="1"/>
  <c r="D213" i="1"/>
  <c r="E213" i="1" s="1"/>
  <c r="D122" i="1"/>
  <c r="E122" i="1" s="1"/>
  <c r="D123" i="1"/>
  <c r="E123" i="1" s="1"/>
  <c r="D124" i="1"/>
  <c r="E124" i="1" s="1"/>
  <c r="D193" i="1"/>
  <c r="E193" i="1" s="1"/>
  <c r="D194" i="1"/>
  <c r="E194" i="1" s="1"/>
  <c r="D191" i="1"/>
  <c r="E191" i="1" s="1"/>
  <c r="D192" i="1"/>
  <c r="E192" i="1" s="1"/>
  <c r="E28" i="5"/>
  <c r="F28" i="5"/>
  <c r="G28" i="5"/>
  <c r="H28" i="5"/>
  <c r="O28" i="5"/>
  <c r="P28" i="5"/>
  <c r="E29" i="5"/>
  <c r="F29" i="5"/>
  <c r="H29" i="5"/>
  <c r="L29" i="5"/>
  <c r="O29" i="5"/>
  <c r="P29" i="5"/>
  <c r="E30" i="5"/>
  <c r="F30" i="5"/>
  <c r="G30" i="5"/>
  <c r="H30" i="5"/>
  <c r="L30" i="5"/>
  <c r="O30" i="5"/>
  <c r="P30" i="5"/>
  <c r="E31" i="5"/>
  <c r="F31" i="5"/>
  <c r="G31" i="5"/>
  <c r="H31" i="5"/>
  <c r="L31" i="5"/>
  <c r="O31" i="5"/>
  <c r="P31" i="5"/>
  <c r="E27" i="5"/>
  <c r="F27" i="5"/>
  <c r="G27" i="5"/>
  <c r="H27" i="5"/>
  <c r="O27" i="5"/>
  <c r="P27" i="5"/>
  <c r="E3" i="5"/>
  <c r="F3" i="5"/>
  <c r="G3" i="5"/>
  <c r="H3" i="5"/>
  <c r="I3" i="5"/>
  <c r="O3" i="5"/>
  <c r="P3" i="5"/>
  <c r="E4" i="5"/>
  <c r="F4" i="5"/>
  <c r="G4" i="5"/>
  <c r="I4" i="5"/>
  <c r="O4" i="5"/>
  <c r="P4" i="5"/>
  <c r="E5" i="5"/>
  <c r="F5" i="5"/>
  <c r="H5" i="5"/>
  <c r="I5" i="5"/>
  <c r="O5" i="5"/>
  <c r="P5" i="5"/>
  <c r="E6" i="5"/>
  <c r="F6" i="5"/>
  <c r="G6" i="5"/>
  <c r="H6" i="5"/>
  <c r="I6" i="5"/>
  <c r="O6" i="5"/>
  <c r="P6" i="5"/>
  <c r="E7" i="5"/>
  <c r="F7" i="5"/>
  <c r="G7" i="5"/>
  <c r="H7" i="5"/>
  <c r="I7" i="5"/>
  <c r="O7" i="5"/>
  <c r="P7" i="5"/>
  <c r="E8" i="5"/>
  <c r="F8" i="5"/>
  <c r="G8" i="5"/>
  <c r="H8" i="5"/>
  <c r="J8" i="5"/>
  <c r="O8" i="5"/>
  <c r="P8" i="5"/>
  <c r="E9" i="5"/>
  <c r="F9" i="5"/>
  <c r="G9" i="5"/>
  <c r="H9" i="5"/>
  <c r="J9" i="5"/>
  <c r="O9" i="5"/>
  <c r="P9" i="5"/>
  <c r="E10" i="5"/>
  <c r="F10" i="5"/>
  <c r="H10" i="5"/>
  <c r="O10" i="5"/>
  <c r="P10" i="5"/>
  <c r="E11" i="5"/>
  <c r="F11" i="5"/>
  <c r="H11" i="5"/>
  <c r="O11" i="5"/>
  <c r="P11" i="5"/>
  <c r="E12" i="5"/>
  <c r="F12" i="5"/>
  <c r="H12" i="5"/>
  <c r="O12" i="5"/>
  <c r="P12" i="5"/>
  <c r="E13" i="5"/>
  <c r="G13" i="5"/>
  <c r="H13" i="5"/>
  <c r="N13" i="5"/>
  <c r="O13" i="5"/>
  <c r="P13" i="5"/>
  <c r="E14" i="5"/>
  <c r="G14" i="5"/>
  <c r="H14" i="5"/>
  <c r="N14" i="5"/>
  <c r="O14" i="5"/>
  <c r="P14" i="5"/>
  <c r="E15" i="5"/>
  <c r="F15" i="5"/>
  <c r="H15" i="5"/>
  <c r="M15" i="5"/>
  <c r="O15" i="5"/>
  <c r="P15" i="5"/>
  <c r="E16" i="5"/>
  <c r="F16" i="5"/>
  <c r="G16" i="5"/>
  <c r="H16" i="5"/>
  <c r="M16" i="5"/>
  <c r="O16" i="5"/>
  <c r="P16" i="5"/>
  <c r="E17" i="5"/>
  <c r="F17" i="5"/>
  <c r="G17" i="5"/>
  <c r="H17" i="5"/>
  <c r="M17" i="5"/>
  <c r="O17" i="5"/>
  <c r="P17" i="5"/>
  <c r="E18" i="5"/>
  <c r="F18" i="5"/>
  <c r="G18" i="5"/>
  <c r="H18" i="5"/>
  <c r="M18" i="5"/>
  <c r="L18" i="5"/>
  <c r="K18" i="5"/>
  <c r="J18" i="5"/>
  <c r="I18" i="5"/>
  <c r="O18" i="5"/>
  <c r="P18" i="5"/>
  <c r="E19" i="5"/>
  <c r="F19" i="5"/>
  <c r="H19" i="5"/>
  <c r="K19" i="5"/>
  <c r="O19" i="5"/>
  <c r="P19" i="5"/>
  <c r="E20" i="5"/>
  <c r="F20" i="5"/>
  <c r="G20" i="5"/>
  <c r="H20" i="5"/>
  <c r="K20" i="5"/>
  <c r="O20" i="5"/>
  <c r="P20" i="5"/>
  <c r="E21" i="5"/>
  <c r="F21" i="5"/>
  <c r="G21" i="5"/>
  <c r="H21" i="5"/>
  <c r="K21" i="5"/>
  <c r="O21" i="5"/>
  <c r="P21" i="5"/>
  <c r="E22" i="5"/>
  <c r="F22" i="5"/>
  <c r="H22" i="5"/>
  <c r="O22" i="5"/>
  <c r="P22" i="5"/>
  <c r="E23" i="5"/>
  <c r="F23" i="5"/>
  <c r="G23" i="5"/>
  <c r="H23" i="5"/>
  <c r="O23" i="5"/>
  <c r="P23" i="5"/>
  <c r="E24" i="5"/>
  <c r="F24" i="5"/>
  <c r="G24" i="5"/>
  <c r="H24" i="5"/>
  <c r="O24" i="5"/>
  <c r="P24" i="5"/>
  <c r="E25" i="5"/>
  <c r="F25" i="5"/>
  <c r="G25" i="5"/>
  <c r="H25" i="5"/>
  <c r="O25" i="5"/>
  <c r="P25" i="5"/>
  <c r="E26" i="5"/>
  <c r="F26" i="5"/>
  <c r="G26" i="5"/>
  <c r="H26" i="5"/>
  <c r="O26" i="5"/>
  <c r="P26" i="5"/>
  <c r="E2" i="5"/>
  <c r="F2" i="5"/>
  <c r="H2" i="5"/>
  <c r="I2" i="5"/>
  <c r="O2" i="5"/>
  <c r="P2" i="5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D72" i="1"/>
  <c r="E72" i="1" s="1"/>
  <c r="D115" i="1"/>
  <c r="E115" i="1" s="1"/>
  <c r="D190" i="1"/>
  <c r="E190" i="1" s="1"/>
  <c r="D143" i="1"/>
  <c r="E143" i="1" s="1"/>
  <c r="D189" i="1"/>
  <c r="E189" i="1"/>
  <c r="D77" i="1"/>
  <c r="E77" i="1" s="1"/>
  <c r="D83" i="1"/>
  <c r="E83" i="1" s="1"/>
  <c r="D82" i="1"/>
  <c r="E82" i="1" s="1"/>
  <c r="D73" i="1"/>
  <c r="E73" i="1" s="1"/>
  <c r="D81" i="1"/>
  <c r="E81" i="1" s="1"/>
  <c r="D75" i="1"/>
  <c r="E75" i="1" s="1"/>
  <c r="D74" i="1"/>
  <c r="E74" i="1" s="1"/>
  <c r="D76" i="1"/>
  <c r="E76" i="1" s="1"/>
  <c r="D80" i="1"/>
  <c r="E80" i="1" s="1"/>
  <c r="D79" i="1"/>
  <c r="E79" i="1" s="1"/>
  <c r="D78" i="1"/>
  <c r="E78" i="1" s="1"/>
  <c r="D121" i="1"/>
  <c r="E121" i="1" s="1"/>
  <c r="D324" i="1"/>
  <c r="E324" i="1" s="1"/>
  <c r="D322" i="1"/>
  <c r="E322" i="1" s="1"/>
  <c r="D323" i="1"/>
  <c r="E323" i="1" s="1"/>
  <c r="D321" i="1"/>
  <c r="E321" i="1" s="1"/>
  <c r="N28" i="3"/>
  <c r="M28" i="3" s="1"/>
  <c r="B9" i="3"/>
  <c r="C9" i="3"/>
  <c r="D9" i="3"/>
  <c r="B10" i="3"/>
  <c r="C10" i="3"/>
  <c r="D10" i="3"/>
  <c r="B11" i="3"/>
  <c r="C11" i="3"/>
  <c r="D11" i="3"/>
  <c r="B12" i="3"/>
  <c r="C12" i="3"/>
  <c r="D12" i="3"/>
  <c r="B37" i="3"/>
  <c r="C37" i="3"/>
  <c r="D37" i="3"/>
  <c r="B36" i="3"/>
  <c r="C36" i="3"/>
  <c r="D36" i="3"/>
  <c r="B35" i="3"/>
  <c r="C35" i="3"/>
  <c r="D35" i="3"/>
  <c r="B34" i="3"/>
  <c r="C34" i="3"/>
  <c r="D34" i="3"/>
  <c r="B33" i="3"/>
  <c r="C33" i="3"/>
  <c r="D33" i="3"/>
  <c r="B32" i="3"/>
  <c r="C32" i="3"/>
  <c r="D32" i="3"/>
  <c r="B31" i="3"/>
  <c r="C31" i="3"/>
  <c r="D31" i="3"/>
  <c r="B30" i="3"/>
  <c r="C30" i="3"/>
  <c r="D30" i="3"/>
  <c r="B29" i="3"/>
  <c r="C29" i="3"/>
  <c r="D29" i="3"/>
  <c r="B28" i="3"/>
  <c r="C28" i="3"/>
  <c r="D28" i="3"/>
  <c r="B27" i="3"/>
  <c r="C27" i="3"/>
  <c r="D27" i="3"/>
  <c r="B26" i="3"/>
  <c r="C26" i="3"/>
  <c r="D26" i="3"/>
  <c r="B25" i="3"/>
  <c r="C25" i="3"/>
  <c r="D25" i="3"/>
  <c r="B24" i="3"/>
  <c r="C24" i="3"/>
  <c r="D24" i="3"/>
  <c r="B23" i="3"/>
  <c r="C23" i="3"/>
  <c r="D23" i="3"/>
  <c r="B22" i="3"/>
  <c r="C22" i="3"/>
  <c r="D22" i="3"/>
  <c r="B21" i="3"/>
  <c r="C21" i="3"/>
  <c r="D21" i="3"/>
  <c r="B20" i="3"/>
  <c r="C20" i="3"/>
  <c r="D20" i="3"/>
  <c r="B19" i="3"/>
  <c r="C19" i="3"/>
  <c r="D19" i="3"/>
  <c r="B18" i="3"/>
  <c r="C18" i="3"/>
  <c r="D18" i="3"/>
  <c r="B17" i="3"/>
  <c r="C17" i="3"/>
  <c r="D17" i="3"/>
  <c r="B16" i="3"/>
  <c r="C16" i="3"/>
  <c r="D16" i="3"/>
  <c r="B15" i="3"/>
  <c r="C15" i="3"/>
  <c r="D15" i="3"/>
  <c r="B14" i="3"/>
  <c r="C14" i="3"/>
  <c r="D14" i="3"/>
  <c r="B13" i="3"/>
  <c r="C13" i="3"/>
  <c r="D13" i="3"/>
  <c r="D38" i="3"/>
  <c r="E4" i="2"/>
  <c r="E24" i="2"/>
  <c r="E31" i="2"/>
  <c r="N16" i="3"/>
  <c r="M16" i="3" s="1"/>
  <c r="E3" i="2"/>
  <c r="E23" i="2"/>
  <c r="E30" i="2"/>
  <c r="N17" i="3"/>
  <c r="M17" i="3" s="1"/>
  <c r="E2" i="2"/>
  <c r="E10" i="2"/>
  <c r="E29" i="2"/>
  <c r="N18" i="3"/>
  <c r="M18" i="3" s="1"/>
  <c r="E7" i="2"/>
  <c r="E21" i="2"/>
  <c r="E26" i="2"/>
  <c r="N19" i="3"/>
  <c r="M19" i="3" s="1"/>
  <c r="N27" i="3"/>
  <c r="M27" i="3" s="1"/>
  <c r="N26" i="3"/>
  <c r="M26" i="3" s="1"/>
  <c r="N25" i="3"/>
  <c r="M25" i="3" s="1"/>
  <c r="E12" i="2"/>
  <c r="E15" i="2"/>
  <c r="N24" i="3"/>
  <c r="M24" i="3" s="1"/>
  <c r="E8" i="2"/>
  <c r="E16" i="2"/>
  <c r="E27" i="2"/>
  <c r="N23" i="3"/>
  <c r="M23" i="3" s="1"/>
  <c r="E9" i="2"/>
  <c r="E17" i="2"/>
  <c r="E28" i="2"/>
  <c r="N22" i="3"/>
  <c r="M22" i="3" s="1"/>
  <c r="E5" i="2"/>
  <c r="E11" i="2"/>
  <c r="E19" i="2"/>
  <c r="N21" i="3"/>
  <c r="M21" i="3" s="1"/>
  <c r="E6" i="2"/>
  <c r="E20" i="2"/>
  <c r="E25" i="2"/>
  <c r="N20" i="3"/>
  <c r="M20" i="3" s="1"/>
  <c r="N29" i="3"/>
  <c r="O28" i="3"/>
  <c r="O26" i="3"/>
  <c r="O27" i="3"/>
  <c r="O25" i="3"/>
  <c r="E13" i="2"/>
  <c r="E14" i="2"/>
  <c r="E18" i="2"/>
  <c r="E22" i="2"/>
  <c r="O18" i="3"/>
  <c r="D276" i="1"/>
  <c r="E276" i="1" s="1"/>
  <c r="D277" i="1"/>
  <c r="E277" i="1" s="1"/>
  <c r="D272" i="1"/>
  <c r="E272" i="1" s="1"/>
  <c r="D271" i="1"/>
  <c r="E271" i="1" s="1"/>
  <c r="D273" i="1"/>
  <c r="E273" i="1" s="1"/>
  <c r="D270" i="1"/>
  <c r="E270" i="1" s="1"/>
  <c r="D268" i="1"/>
  <c r="E268" i="1" s="1"/>
  <c r="D269" i="1"/>
  <c r="E269" i="1" s="1"/>
  <c r="D245" i="1"/>
  <c r="E245" i="1" s="1"/>
  <c r="D244" i="1"/>
  <c r="E244" i="1" s="1"/>
  <c r="D243" i="1"/>
  <c r="E243" i="1" s="1"/>
  <c r="D62" i="1"/>
  <c r="E62" i="1" s="1"/>
  <c r="D64" i="1"/>
  <c r="E64" i="1" s="1"/>
  <c r="D61" i="1"/>
  <c r="E61" i="1" s="1"/>
  <c r="D65" i="1"/>
  <c r="E65" i="1" s="1"/>
  <c r="D63" i="1"/>
  <c r="E63" i="1" s="1"/>
  <c r="D35" i="1"/>
  <c r="E35" i="1" s="1"/>
  <c r="D34" i="1"/>
  <c r="E34" i="1" s="1"/>
  <c r="D36" i="1"/>
  <c r="E36" i="1" s="1"/>
  <c r="D30" i="1"/>
  <c r="E30" i="1" s="1"/>
  <c r="D31" i="1"/>
  <c r="E31" i="1" s="1"/>
  <c r="D32" i="1"/>
  <c r="E32" i="1" s="1"/>
  <c r="D33" i="1"/>
  <c r="E33" i="1" s="1"/>
  <c r="D314" i="1"/>
  <c r="E314" i="1" s="1"/>
  <c r="D315" i="1"/>
  <c r="E315" i="1" s="1"/>
  <c r="D317" i="1"/>
  <c r="E317" i="1" s="1"/>
  <c r="D318" i="1"/>
  <c r="E318" i="1" s="1"/>
  <c r="D316" i="1"/>
  <c r="E316" i="1" s="1"/>
  <c r="D38" i="1"/>
  <c r="E38" i="1" s="1"/>
  <c r="D44" i="1"/>
  <c r="E44" i="1" s="1"/>
  <c r="D42" i="1"/>
  <c r="E42" i="1" s="1"/>
  <c r="D40" i="1"/>
  <c r="E40" i="1" s="1"/>
  <c r="D39" i="1"/>
  <c r="E39" i="1" s="1"/>
  <c r="D43" i="1"/>
  <c r="E43" i="1" s="1"/>
  <c r="D41" i="1"/>
  <c r="E41" i="1" s="1"/>
  <c r="D330" i="1"/>
  <c r="E330" i="1" s="1"/>
  <c r="D172" i="1"/>
  <c r="E172" i="1" s="1"/>
  <c r="D171" i="1"/>
  <c r="E171" i="1" s="1"/>
  <c r="D167" i="1"/>
  <c r="E167" i="1" s="1"/>
  <c r="D170" i="1"/>
  <c r="E170" i="1" s="1"/>
  <c r="D169" i="1"/>
  <c r="E169" i="1" s="1"/>
  <c r="D168" i="1"/>
  <c r="E168" i="1" s="1"/>
  <c r="D154" i="1"/>
  <c r="E154" i="1" s="1"/>
  <c r="D157" i="1"/>
  <c r="E157" i="1" s="1"/>
  <c r="D158" i="1"/>
  <c r="E158" i="1" s="1"/>
  <c r="D156" i="1"/>
  <c r="E156" i="1" s="1"/>
  <c r="D155" i="1"/>
  <c r="E155" i="1" s="1"/>
  <c r="D56" i="1"/>
  <c r="E56" i="1" s="1"/>
  <c r="D55" i="1"/>
  <c r="E55" i="1" s="1"/>
  <c r="D57" i="1"/>
  <c r="E57" i="1" s="1"/>
  <c r="D120" i="1"/>
  <c r="E120" i="1" s="1"/>
  <c r="D116" i="1"/>
  <c r="E116" i="1" s="1"/>
  <c r="D119" i="1"/>
  <c r="E119" i="1" s="1"/>
  <c r="D117" i="1"/>
  <c r="E117" i="1" s="1"/>
  <c r="D118" i="1"/>
  <c r="E118" i="1" s="1"/>
  <c r="D58" i="1"/>
  <c r="E58" i="1" s="1"/>
  <c r="D60" i="1"/>
  <c r="E60" i="1" s="1"/>
  <c r="D59" i="1"/>
  <c r="E59" i="1" s="1"/>
  <c r="D282" i="1"/>
  <c r="E282" i="1" s="1"/>
  <c r="D222" i="1"/>
  <c r="E222" i="1" s="1"/>
  <c r="D221" i="1"/>
  <c r="E221" i="1" s="1"/>
  <c r="D223" i="1"/>
  <c r="E223" i="1" s="1"/>
  <c r="D218" i="1"/>
  <c r="E218" i="1" s="1"/>
  <c r="D220" i="1"/>
  <c r="E220" i="1" s="1"/>
  <c r="D219" i="1"/>
  <c r="E219" i="1" s="1"/>
  <c r="D164" i="1"/>
  <c r="E164" i="1" s="1"/>
  <c r="D166" i="1"/>
  <c r="E166" i="1" s="1"/>
  <c r="D165" i="1"/>
  <c r="E165" i="1" s="1"/>
  <c r="D71" i="1"/>
  <c r="E71" i="1" s="1"/>
  <c r="D70" i="1"/>
  <c r="E70" i="1" s="1"/>
  <c r="D68" i="1"/>
  <c r="E68" i="1" s="1"/>
  <c r="D67" i="1"/>
  <c r="E67" i="1" s="1"/>
  <c r="D69" i="1"/>
  <c r="E69" i="1" s="1"/>
  <c r="D21" i="1"/>
  <c r="E21" i="1" s="1"/>
  <c r="D20" i="1"/>
  <c r="E20" i="1" s="1"/>
  <c r="D22" i="1"/>
  <c r="E22" i="1" s="1"/>
  <c r="D305" i="1"/>
  <c r="E305" i="1" s="1"/>
  <c r="D303" i="1"/>
  <c r="E303" i="1" s="1"/>
  <c r="D304" i="1"/>
  <c r="E304" i="1" s="1"/>
  <c r="D307" i="1"/>
  <c r="E307" i="1" s="1"/>
  <c r="D306" i="1"/>
  <c r="E306" i="1" s="1"/>
  <c r="D140" i="1"/>
  <c r="E140" i="1" s="1"/>
  <c r="D142" i="1"/>
  <c r="E142" i="1" s="1"/>
  <c r="D141" i="1"/>
  <c r="E141" i="1" s="1"/>
  <c r="D241" i="1"/>
  <c r="E241" i="1" s="1"/>
  <c r="D242" i="1"/>
  <c r="E242" i="1" s="1"/>
  <c r="D239" i="1"/>
  <c r="E239" i="1" s="1"/>
  <c r="D240" i="1"/>
  <c r="E240" i="1" s="1"/>
  <c r="D27" i="1"/>
  <c r="D28" i="1"/>
  <c r="E28" i="1" s="1"/>
  <c r="D237" i="1"/>
  <c r="E237" i="1" s="1"/>
  <c r="D234" i="1"/>
  <c r="E234" i="1" s="1"/>
  <c r="D233" i="1"/>
  <c r="E233" i="1" s="1"/>
  <c r="D236" i="1"/>
  <c r="E236" i="1" s="1"/>
  <c r="D235" i="1"/>
  <c r="E235" i="1" s="1"/>
  <c r="D238" i="1"/>
  <c r="E238" i="1" s="1"/>
  <c r="D232" i="1"/>
  <c r="E232" i="1" s="1"/>
  <c r="D231" i="1"/>
  <c r="E231" i="1" s="1"/>
  <c r="D45" i="1"/>
  <c r="E45" i="1" s="1"/>
  <c r="D47" i="1"/>
  <c r="E47" i="1" s="1"/>
  <c r="D46" i="1"/>
  <c r="E46" i="1" s="1"/>
  <c r="D102" i="1"/>
  <c r="E102" i="1" s="1"/>
  <c r="D103" i="1"/>
  <c r="E103" i="1" s="1"/>
  <c r="D101" i="1"/>
  <c r="E101" i="1" s="1"/>
  <c r="D99" i="1"/>
  <c r="E99" i="1" s="1"/>
  <c r="D100" i="1"/>
  <c r="E100" i="1" s="1"/>
  <c r="D291" i="1"/>
  <c r="E291" i="1" s="1"/>
  <c r="D292" i="1"/>
  <c r="E292" i="1" s="1"/>
  <c r="D293" i="1"/>
  <c r="E293" i="1" s="1"/>
  <c r="D295" i="1"/>
  <c r="E295" i="1" s="1"/>
  <c r="D294" i="1"/>
  <c r="E294" i="1" s="1"/>
  <c r="D17" i="1"/>
  <c r="E17" i="1" s="1"/>
  <c r="D84" i="1"/>
  <c r="E84" i="1" s="1"/>
  <c r="D85" i="1"/>
  <c r="E85" i="1" s="1"/>
  <c r="D144" i="1"/>
  <c r="E144" i="1" s="1"/>
  <c r="D327" i="1"/>
  <c r="E327" i="1" s="1"/>
  <c r="D326" i="1"/>
  <c r="E326" i="1" s="1"/>
  <c r="D328" i="1"/>
  <c r="E328" i="1" s="1"/>
  <c r="D332" i="1"/>
  <c r="E332" i="1" s="1"/>
  <c r="D112" i="1"/>
  <c r="D113" i="1"/>
  <c r="D114" i="1"/>
  <c r="D110" i="1"/>
  <c r="D111" i="1"/>
  <c r="D109" i="1"/>
  <c r="D108" i="1"/>
  <c r="D107" i="1"/>
  <c r="D296" i="1"/>
  <c r="E296" i="1" s="1"/>
  <c r="D263" i="1"/>
  <c r="E263" i="1" s="1"/>
  <c r="D262" i="1"/>
  <c r="E262" i="1" s="1"/>
  <c r="D261" i="1"/>
  <c r="E261" i="1" s="1"/>
  <c r="D187" i="1"/>
  <c r="E187" i="1" s="1"/>
  <c r="D188" i="1"/>
  <c r="E188" i="1" s="1"/>
  <c r="D184" i="1"/>
  <c r="E184" i="1" s="1"/>
  <c r="D186" i="1"/>
  <c r="E186" i="1" s="1"/>
  <c r="D185" i="1"/>
  <c r="E185" i="1" s="1"/>
  <c r="D312" i="1"/>
  <c r="E312" i="1" s="1"/>
  <c r="D313" i="1"/>
  <c r="E313" i="1" s="1"/>
  <c r="D308" i="1"/>
  <c r="E308" i="1" s="1"/>
  <c r="D310" i="1"/>
  <c r="E310" i="1" s="1"/>
  <c r="D311" i="1"/>
  <c r="E311" i="1" s="1"/>
  <c r="D309" i="1"/>
  <c r="E309" i="1" s="1"/>
  <c r="D24" i="1"/>
  <c r="E24" i="1" s="1"/>
  <c r="D23" i="1"/>
  <c r="E23" i="1" s="1"/>
  <c r="D25" i="1"/>
  <c r="E25" i="1" s="1"/>
  <c r="D26" i="1"/>
  <c r="E26" i="1" s="1"/>
  <c r="D257" i="1"/>
  <c r="E257" i="1" s="1"/>
  <c r="D256" i="1"/>
  <c r="E256" i="1" s="1"/>
  <c r="D254" i="1"/>
  <c r="E254" i="1" s="1"/>
  <c r="D255" i="1"/>
  <c r="E255" i="1" s="1"/>
  <c r="D301" i="1"/>
  <c r="E301" i="1" s="1"/>
  <c r="D298" i="1"/>
  <c r="E298" i="1" s="1"/>
  <c r="D299" i="1"/>
  <c r="E299" i="1" s="1"/>
  <c r="D300" i="1"/>
  <c r="E300" i="1" s="1"/>
  <c r="D297" i="1"/>
  <c r="E297" i="1" s="1"/>
  <c r="D302" i="1"/>
  <c r="E302" i="1" s="1"/>
  <c r="D132" i="1"/>
  <c r="E132" i="1" s="1"/>
  <c r="D133" i="1"/>
  <c r="E133" i="1" s="1"/>
  <c r="D134" i="1"/>
  <c r="E134" i="1" s="1"/>
  <c r="D160" i="1"/>
  <c r="E160" i="1" s="1"/>
  <c r="D161" i="1"/>
  <c r="E161" i="1" s="1"/>
  <c r="D159" i="1"/>
  <c r="E159" i="1" s="1"/>
  <c r="D51" i="1"/>
  <c r="E51" i="1" s="1"/>
  <c r="D50" i="1"/>
  <c r="D52" i="1"/>
  <c r="D53" i="1"/>
  <c r="E53" i="1" s="1"/>
  <c r="D54" i="1"/>
  <c r="E54" i="1" s="1"/>
  <c r="D48" i="1"/>
  <c r="E48" i="1" s="1"/>
  <c r="D49" i="1"/>
  <c r="E49" i="1" s="1"/>
  <c r="D149" i="1"/>
  <c r="E149" i="1" s="1"/>
  <c r="D148" i="1"/>
  <c r="E148" i="1" s="1"/>
  <c r="D150" i="1"/>
  <c r="E150" i="1" s="1"/>
  <c r="D145" i="1"/>
  <c r="E145" i="1" s="1"/>
  <c r="D147" i="1"/>
  <c r="E147" i="1" s="1"/>
  <c r="D146" i="1"/>
  <c r="E146" i="1" s="1"/>
  <c r="D183" i="1"/>
  <c r="E183" i="1" s="1"/>
  <c r="D182" i="1"/>
  <c r="E182" i="1" s="1"/>
  <c r="D179" i="1"/>
  <c r="E179" i="1" s="1"/>
  <c r="D181" i="1"/>
  <c r="E181" i="1" s="1"/>
  <c r="D180" i="1"/>
  <c r="E180" i="1" s="1"/>
  <c r="D290" i="1"/>
  <c r="E290" i="1" s="1"/>
  <c r="D287" i="1"/>
  <c r="E287" i="1" s="1"/>
  <c r="D283" i="1"/>
  <c r="E283" i="1" s="1"/>
  <c r="D289" i="1"/>
  <c r="E289" i="1" s="1"/>
  <c r="D288" i="1"/>
  <c r="E288" i="1" s="1"/>
  <c r="D284" i="1"/>
  <c r="E284" i="1" s="1"/>
  <c r="D286" i="1"/>
  <c r="E286" i="1" s="1"/>
  <c r="D285" i="1"/>
  <c r="E285" i="1" s="1"/>
  <c r="D329" i="1"/>
  <c r="E329" i="1" s="1"/>
  <c r="D280" i="1"/>
  <c r="E280" i="1" s="1"/>
  <c r="D278" i="1"/>
  <c r="E278" i="1" s="1"/>
  <c r="D281" i="1"/>
  <c r="E281" i="1" s="1"/>
  <c r="D279" i="1"/>
  <c r="E279" i="1" s="1"/>
  <c r="D228" i="1"/>
  <c r="E228" i="1" s="1"/>
  <c r="D230" i="1"/>
  <c r="E230" i="1" s="1"/>
  <c r="D225" i="1"/>
  <c r="E225" i="1" s="1"/>
  <c r="D226" i="1"/>
  <c r="E226" i="1" s="1"/>
  <c r="D227" i="1"/>
  <c r="E227" i="1" s="1"/>
  <c r="D229" i="1"/>
  <c r="E229" i="1" s="1"/>
  <c r="D224" i="1"/>
  <c r="E224" i="1" s="1"/>
  <c r="D249" i="1"/>
  <c r="E249" i="1" s="1"/>
  <c r="D246" i="1"/>
  <c r="E246" i="1" s="1"/>
  <c r="D250" i="1"/>
  <c r="E250" i="1" s="1"/>
  <c r="D248" i="1"/>
  <c r="E248" i="1" s="1"/>
  <c r="D247" i="1"/>
  <c r="E247" i="1" s="1"/>
  <c r="D153" i="1"/>
  <c r="E153" i="1" s="1"/>
  <c r="D152" i="1"/>
  <c r="E152" i="1" s="1"/>
  <c r="D151" i="1"/>
  <c r="E151" i="1" s="1"/>
  <c r="D260" i="1"/>
  <c r="E260" i="1" s="1"/>
  <c r="D258" i="1"/>
  <c r="E258" i="1" s="1"/>
  <c r="D259" i="1"/>
  <c r="E259" i="1" s="1"/>
  <c r="D200" i="1"/>
  <c r="E200" i="1" s="1"/>
  <c r="D199" i="1"/>
  <c r="E199" i="1" s="1"/>
  <c r="D197" i="1"/>
  <c r="E197" i="1" s="1"/>
  <c r="D198" i="1"/>
  <c r="E198" i="1" s="1"/>
  <c r="D207" i="1"/>
  <c r="E207" i="1" s="1"/>
  <c r="D205" i="1"/>
  <c r="E205" i="1" s="1"/>
  <c r="D201" i="1"/>
  <c r="E201" i="1" s="1"/>
  <c r="D203" i="1"/>
  <c r="E203" i="1" s="1"/>
  <c r="D209" i="1"/>
  <c r="E209" i="1" s="1"/>
  <c r="D204" i="1"/>
  <c r="E204" i="1" s="1"/>
  <c r="D202" i="1"/>
  <c r="E202" i="1" s="1"/>
  <c r="D208" i="1"/>
  <c r="E208" i="1" s="1"/>
  <c r="D206" i="1"/>
  <c r="E206" i="1" s="1"/>
  <c r="D210" i="1"/>
  <c r="E210" i="1" s="1"/>
  <c r="D211" i="1"/>
  <c r="E211" i="1" s="1"/>
  <c r="D15" i="1"/>
  <c r="E15" i="1" s="1"/>
  <c r="D16" i="1"/>
  <c r="E16" i="1" s="1"/>
  <c r="D12" i="1"/>
  <c r="E12" i="1" s="1"/>
  <c r="D14" i="1"/>
  <c r="E14" i="1" s="1"/>
  <c r="D13" i="1"/>
  <c r="E13" i="1" s="1"/>
  <c r="D10" i="1"/>
  <c r="E10" i="1" s="1"/>
  <c r="D9" i="1"/>
  <c r="D11" i="1"/>
  <c r="E11" i="1" s="1"/>
  <c r="D106" i="1"/>
  <c r="E106" i="1" s="1"/>
  <c r="D104" i="1"/>
  <c r="E104" i="1" s="1"/>
  <c r="D105" i="1"/>
  <c r="E105" i="1" s="1"/>
  <c r="D98" i="1"/>
  <c r="E98" i="1" s="1"/>
  <c r="D333" i="1"/>
  <c r="E333" i="1" s="1"/>
  <c r="D93" i="1"/>
  <c r="E93" i="1" s="1"/>
  <c r="D92" i="1"/>
  <c r="E92" i="1" s="1"/>
  <c r="D94" i="1"/>
  <c r="E94" i="1" s="1"/>
  <c r="D89" i="1"/>
  <c r="E89" i="1" s="1"/>
  <c r="D91" i="1"/>
  <c r="E91" i="1" s="1"/>
  <c r="D90" i="1"/>
  <c r="E90" i="1" s="1"/>
  <c r="D29" i="1"/>
  <c r="E29" i="1" s="1"/>
  <c r="D18" i="1"/>
  <c r="E18" i="1" s="1"/>
  <c r="D19" i="1"/>
  <c r="E19" i="1" s="1"/>
  <c r="D331" i="1"/>
  <c r="E331" i="1" s="1"/>
  <c r="D137" i="1"/>
  <c r="E137" i="1" s="1"/>
  <c r="D139" i="1"/>
  <c r="E139" i="1" s="1"/>
  <c r="D135" i="1"/>
  <c r="E135" i="1" s="1"/>
  <c r="D138" i="1"/>
  <c r="E138" i="1" s="1"/>
  <c r="D136" i="1"/>
  <c r="E136" i="1" s="1"/>
  <c r="D7" i="1"/>
  <c r="E7" i="1" s="1"/>
  <c r="D8" i="1"/>
  <c r="E8" i="1" s="1"/>
  <c r="D6" i="1"/>
  <c r="D266" i="1"/>
  <c r="E266" i="1" s="1"/>
  <c r="D265" i="1"/>
  <c r="E265" i="1" s="1"/>
  <c r="B38" i="3"/>
  <c r="E6" i="1"/>
  <c r="E52" i="1"/>
  <c r="E50" i="1"/>
  <c r="E27" i="1"/>
  <c r="B3" i="6" s="1"/>
  <c r="E107" i="1"/>
  <c r="E108" i="1"/>
  <c r="E109" i="1"/>
  <c r="E111" i="1"/>
  <c r="E110" i="1"/>
  <c r="E114" i="1"/>
  <c r="E113" i="1"/>
  <c r="E112" i="1"/>
  <c r="M9" i="3"/>
  <c r="M10" i="3"/>
  <c r="M11" i="3"/>
  <c r="M12" i="3"/>
  <c r="L12" i="3"/>
  <c r="F4" i="1" a="1"/>
  <c r="F4" i="1"/>
  <c r="C4" i="1"/>
  <c r="A4" i="1"/>
  <c r="E19" i="3"/>
  <c r="E27" i="3"/>
  <c r="E28" i="3"/>
  <c r="E15" i="3"/>
  <c r="E32" i="3"/>
  <c r="E30" i="3"/>
  <c r="E33" i="3"/>
  <c r="E31" i="3"/>
  <c r="E25" i="3"/>
  <c r="E24" i="3"/>
  <c r="E12" i="3"/>
  <c r="E13" i="3"/>
  <c r="E14" i="3"/>
  <c r="E9" i="3"/>
  <c r="O24" i="3"/>
  <c r="O22" i="3"/>
  <c r="O23" i="3"/>
  <c r="O19" i="3"/>
  <c r="O20" i="3"/>
  <c r="O21" i="3"/>
  <c r="O17" i="3"/>
  <c r="E37" i="3"/>
  <c r="C38" i="3"/>
  <c r="E36" i="3"/>
  <c r="E35" i="3"/>
  <c r="E16" i="3"/>
  <c r="E20" i="3"/>
  <c r="E10" i="3"/>
  <c r="E18" i="3"/>
  <c r="E11" i="3"/>
  <c r="E21" i="3"/>
  <c r="E26" i="3"/>
  <c r="E29" i="3"/>
  <c r="E22" i="3"/>
  <c r="E23" i="3"/>
  <c r="E34" i="3"/>
  <c r="E17" i="3"/>
  <c r="M29" i="3"/>
  <c r="O16" i="3"/>
  <c r="O29" i="3"/>
  <c r="E38" i="3"/>
  <c r="J1" i="1"/>
  <c r="J3" i="1"/>
  <c r="E37" i="4"/>
  <c r="H4" i="6" l="1"/>
  <c r="I4" i="6" s="1"/>
  <c r="B6" i="6"/>
  <c r="B7" i="6"/>
  <c r="A10" i="6" l="1"/>
  <c r="D8" i="6" s="1"/>
  <c r="H3" i="6"/>
  <c r="I3" i="6" s="1"/>
  <c r="J4" i="6" l="1"/>
  <c r="J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Anna Fernandes</author>
  </authors>
  <commentList>
    <comment ref="G1" authorId="0" shapeId="0" xr:uid="{52BEFD43-F7C6-4967-B530-C261E627DB3A}">
      <text>
        <r>
          <rPr>
            <sz val="11"/>
            <color theme="1"/>
            <rFont val="Aptos Narrow"/>
            <family val="2"/>
            <scheme val="minor"/>
          </rPr>
          <t xml:space="preserve">Anna Fernandes:
WON'T UPDATE WITH FILTER
*CALCULATES FOR FULL SHEET*
</t>
        </r>
      </text>
    </comment>
    <comment ref="H1" authorId="0" shapeId="0" xr:uid="{F20FA49C-DFFE-4C2C-92DB-EA6AE2E264E2}">
      <text>
        <r>
          <rPr>
            <sz val="11"/>
            <color theme="1"/>
            <rFont val="Aptos Narrow"/>
            <family val="2"/>
            <scheme val="minor"/>
          </rPr>
          <t xml:space="preserve">Anna Fernandes:
WON'T UPDATE WITH FILTER
*CALCULATES FOR FULL SHEET*
</t>
        </r>
      </text>
    </comment>
    <comment ref="G3" authorId="0" shapeId="0" xr:uid="{262B5499-C2C8-4BFB-B01F-22648D3908D4}">
      <text>
        <r>
          <rPr>
            <sz val="11"/>
            <color theme="1"/>
            <rFont val="Aptos Narrow"/>
            <family val="2"/>
            <scheme val="minor"/>
          </rPr>
          <t xml:space="preserve">Anna Fernandes:
WON'T UPDATE WITH FILTER
*CALCULATES FOR FULL SHEET*
</t>
        </r>
      </text>
    </comment>
    <comment ref="H3" authorId="0" shapeId="0" xr:uid="{320DC2A8-0605-4A09-BFA4-7A473749AC11}">
      <text>
        <r>
          <rPr>
            <sz val="11"/>
            <color theme="1"/>
            <rFont val="Aptos Narrow"/>
            <family val="2"/>
            <scheme val="minor"/>
          </rPr>
          <t xml:space="preserve">Anna Fernandes:
WON'T UPDATE WITH FILTER
*CALCULATES FOR FULL SHEET*
</t>
        </r>
      </text>
    </comment>
    <comment ref="B5" authorId="0" shapeId="0" xr:uid="{D0C56C55-CCCE-4BAA-91AC-840F4B55E87C}">
      <text>
        <r>
          <rPr>
            <sz val="11"/>
            <color theme="1"/>
            <rFont val="Aptos Narrow"/>
            <family val="2"/>
            <scheme val="minor"/>
          </rPr>
          <t xml:space="preserve">Anna Fernandes:
Use Drop Down Only to Fill data </t>
        </r>
      </text>
    </comment>
    <comment ref="D5" authorId="0" shapeId="0" xr:uid="{6BA64C4A-552A-4E63-BA9F-A77BBC626B8E}">
      <text>
        <r>
          <rPr>
            <sz val="11"/>
            <color theme="1"/>
            <rFont val="Aptos Narrow"/>
            <family val="2"/>
            <scheme val="minor"/>
          </rPr>
          <t xml:space="preserve">Anna Fernandes:
DO NOT EDIT
</t>
        </r>
      </text>
    </comment>
    <comment ref="E5" authorId="0" shapeId="0" xr:uid="{4BE7F968-20AA-4156-8C73-76084A254A1E}">
      <text>
        <r>
          <rPr>
            <sz val="11"/>
            <color theme="1"/>
            <rFont val="Aptos Narrow"/>
            <family val="2"/>
            <scheme val="minor"/>
          </rPr>
          <t>Anna Fernandes:
DO NOT EDIT</t>
        </r>
      </text>
    </comment>
    <comment ref="G5" authorId="0" shapeId="0" xr:uid="{D0922913-7E7D-40E1-9B29-2C5291EA74A6}">
      <text>
        <r>
          <rPr>
            <sz val="11"/>
            <color theme="1"/>
            <rFont val="Aptos Narrow"/>
            <family val="2"/>
            <scheme val="minor"/>
          </rPr>
          <t xml:space="preserve">Anna Fernandes:
Use Drop Down Only to Fill data </t>
        </r>
      </text>
    </comment>
    <comment ref="H5" authorId="0" shapeId="0" xr:uid="{2453B0AF-7853-44D5-9117-A5D04FDE52CA}">
      <text>
        <r>
          <rPr>
            <sz val="11"/>
            <color theme="1"/>
            <rFont val="Aptos Narrow"/>
            <family val="2"/>
            <scheme val="minor"/>
          </rPr>
          <t xml:space="preserve">Anna Fernandes:
Use Drop Down Only to Fill data </t>
        </r>
      </text>
    </comment>
    <comment ref="I5" authorId="0" shapeId="0" xr:uid="{D1AA5C62-B1AC-4344-A508-94E135EBAE67}">
      <text>
        <r>
          <rPr>
            <sz val="11"/>
            <color theme="1"/>
            <rFont val="Aptos Narrow"/>
            <family val="2"/>
            <scheme val="minor"/>
          </rPr>
          <t xml:space="preserve">Anna Fernandes:Use Drop Down Only to Fill data 
</t>
        </r>
      </text>
    </comment>
    <comment ref="A27" authorId="0" shapeId="0" xr:uid="{66CC4458-8A1E-4DCF-A9AE-B60383D8E6F2}">
      <text>
        <r>
          <rPr>
            <sz val="11"/>
            <color theme="1"/>
            <rFont val="Aptos Narrow"/>
            <family val="2"/>
            <scheme val="minor"/>
          </rPr>
          <t>Anna Fernandes:
Review order on whatsapp 
Order NO: 23</t>
        </r>
      </text>
    </comment>
    <comment ref="A28" authorId="0" shapeId="0" xr:uid="{CE612044-EF14-470C-8341-80ED729C0B4C}">
      <text>
        <r>
          <rPr>
            <sz val="11"/>
            <color theme="1"/>
            <rFont val="Aptos Narrow"/>
            <family val="2"/>
            <scheme val="minor"/>
          </rPr>
          <t>Anna Fernandes:
Anna Fernandes:
Review order on whatsapp 
Order NO: 23</t>
        </r>
      </text>
    </comment>
    <comment ref="A34" authorId="0" shapeId="0" xr:uid="{93E0C557-EFE2-492A-B733-B968B0EDF22E}">
      <text>
        <r>
          <rPr>
            <sz val="11"/>
            <color theme="1"/>
            <rFont val="Aptos Narrow"/>
            <family val="2"/>
            <scheme val="minor"/>
          </rPr>
          <t xml:space="preserve">Pack 13 packs as per whatsapp group photo
Order 20
</t>
        </r>
      </text>
    </comment>
    <comment ref="A35" authorId="0" shapeId="0" xr:uid="{C230A875-9D78-468F-9F1B-56A095ACD634}">
      <text>
        <r>
          <rPr>
            <sz val="11"/>
            <color theme="1"/>
            <rFont val="Aptos Narrow"/>
            <family val="2"/>
            <scheme val="minor"/>
          </rPr>
          <t>Pack 13 packs as per whatsapp group photo
Order 20</t>
        </r>
      </text>
    </comment>
    <comment ref="A36" authorId="0" shapeId="0" xr:uid="{0BF90E09-43CC-4E31-A23E-2305269F2DEE}">
      <text>
        <r>
          <rPr>
            <sz val="11"/>
            <color theme="1"/>
            <rFont val="Aptos Narrow"/>
            <family val="2"/>
            <scheme val="minor"/>
          </rPr>
          <t>Pack 13 packs as per whatsapp group photo
Order 20</t>
        </r>
      </text>
    </comment>
    <comment ref="A78" authorId="0" shapeId="0" xr:uid="{9EAD5126-6023-484C-86B3-1565F116048D}">
      <text>
        <r>
          <rPr>
            <sz val="11"/>
            <color theme="1"/>
            <rFont val="Aptos Narrow"/>
            <family val="2"/>
            <scheme val="minor"/>
          </rPr>
          <t xml:space="preserve">Anna Fernandes:
Delivery with Alena 
</t>
        </r>
      </text>
    </comment>
    <comment ref="A129" authorId="0" shapeId="0" xr:uid="{F29F303F-A116-4AA5-85D9-D47A17D68DBF}">
      <text>
        <r>
          <rPr>
            <sz val="11"/>
            <color theme="1"/>
            <rFont val="Aptos Narrow"/>
            <family val="2"/>
            <scheme val="minor"/>
          </rPr>
          <t xml:space="preserve">Anna Fernandes:
Special Order 
Need 10 baskets with 5 eggs 2 Dark &amp; milk , And 1 White 
5 Baskets with 2 eggs 
Dark &amp; Milk </t>
        </r>
      </text>
    </comment>
    <comment ref="A130" authorId="0" shapeId="0" xr:uid="{934FD722-DA58-4DA4-8BA9-C4056D4A9BC8}">
      <text>
        <r>
          <rPr>
            <sz val="11"/>
            <color theme="1"/>
            <rFont val="Aptos Narrow"/>
            <family val="2"/>
            <scheme val="minor"/>
          </rPr>
          <t xml:space="preserve">Anna Fernandes:
Special Order 
Need 10 baskets with 5 eggs 2 Dark &amp; milk , And 1 White 
5 Baskets with 2 eggs 
Dark &amp; Milk </t>
        </r>
      </text>
    </comment>
    <comment ref="A131" authorId="0" shapeId="0" xr:uid="{8FABCA8E-1EA2-4EC8-A757-76789665A078}">
      <text>
        <r>
          <rPr>
            <sz val="11"/>
            <color theme="1"/>
            <rFont val="Aptos Narrow"/>
            <family val="2"/>
            <scheme val="minor"/>
          </rPr>
          <t xml:space="preserve">Anna Fernandes:
Special Order 
Need 10 baskets with 5 eggs 2 Dark &amp; milk , And 1 White 
5 Baskets with 2 eggs 
Dark &amp; Milk </t>
        </r>
      </text>
    </comment>
    <comment ref="A137" authorId="0" shapeId="0" xr:uid="{D4412594-625C-47D2-B9C3-822063746909}">
      <text>
        <r>
          <rPr>
            <sz val="11"/>
            <color theme="1"/>
            <rFont val="Aptos Narrow"/>
            <family val="2"/>
            <scheme val="minor"/>
          </rPr>
          <t xml:space="preserve">Anna Fernandes:
no rum in mini egglet basket
give blueberry instead
</t>
        </r>
      </text>
    </comment>
    <comment ref="A149" authorId="0" shapeId="0" xr:uid="{DC703CA9-E8A5-472C-B8F9-9FE770405115}">
      <text>
        <r>
          <rPr>
            <sz val="11"/>
            <color theme="1"/>
            <rFont val="Aptos Narrow"/>
            <family val="2"/>
            <scheme val="minor"/>
          </rPr>
          <t xml:space="preserve">Anna Fernandes:
10 mid size baskets without rum
3 mid size baskets with rum
</t>
        </r>
      </text>
    </comment>
    <comment ref="A187" authorId="0" shapeId="0" xr:uid="{7908BA1F-E1D8-4DBE-965D-A1A1F7C8E6E3}">
      <text>
        <r>
          <rPr>
            <sz val="11"/>
            <color theme="1"/>
            <rFont val="Aptos Narrow"/>
            <family val="2"/>
            <scheme val="minor"/>
          </rPr>
          <t xml:space="preserve">Anna Fernandes:
11 baskets with rum drop
2 baskets without rum drop, put mocha pop instead
</t>
        </r>
      </text>
    </comment>
    <comment ref="A189" authorId="0" shapeId="0" xr:uid="{B4D8F546-C1B2-4D48-A669-5F7F15DBEA0B}">
      <text>
        <r>
          <rPr>
            <sz val="11"/>
            <color theme="1"/>
            <rFont val="Aptos Narrow"/>
            <family val="2"/>
            <scheme val="minor"/>
          </rPr>
          <t xml:space="preserve">Anna Fernandes:
delivery with Alena
</t>
        </r>
      </text>
    </comment>
    <comment ref="A190" authorId="0" shapeId="0" xr:uid="{90F17648-3554-4323-AA75-8A0175188D4C}">
      <text>
        <r>
          <rPr>
            <sz val="11"/>
            <color theme="1"/>
            <rFont val="Aptos Narrow"/>
            <family val="2"/>
            <scheme val="minor"/>
          </rPr>
          <t xml:space="preserve">Anna Fernandes:
no rum
</t>
        </r>
      </text>
    </comment>
    <comment ref="F192" authorId="0" shapeId="0" xr:uid="{223EC848-1F71-489D-BD20-4176627BB1EC}">
      <text>
        <r>
          <rPr>
            <sz val="11"/>
            <color theme="1"/>
            <rFont val="Aptos Narrow"/>
            <family val="2"/>
            <scheme val="minor"/>
          </rPr>
          <t xml:space="preserve">Anna Fernandes:
Porter on 4th for delivery </t>
        </r>
      </text>
    </comment>
    <comment ref="A195" authorId="0" shapeId="0" xr:uid="{0816F171-C83F-4759-8315-1115DF0FF62B}">
      <text>
        <r>
          <rPr>
            <sz val="11"/>
            <color theme="1"/>
            <rFont val="Aptos Narrow"/>
            <family val="2"/>
            <scheme val="minor"/>
          </rPr>
          <t xml:space="preserve">Anna Fernandes:
Delivery By Porter 
by 1- 2 pm
</t>
        </r>
      </text>
    </comment>
    <comment ref="A228" authorId="0" shapeId="0" xr:uid="{2423D39F-B240-4520-8CC9-6E5DEA45BC8A}">
      <text>
        <r>
          <rPr>
            <sz val="11"/>
            <color theme="1"/>
            <rFont val="Aptos Narrow"/>
            <family val="2"/>
            <scheme val="minor"/>
          </rPr>
          <t>Anna Fernandes:
Pack small easter eggs 
separately</t>
        </r>
      </text>
    </comment>
    <comment ref="A249" authorId="0" shapeId="0" xr:uid="{95ED93FB-19E5-4674-A7A7-C62A70CA0C9A}">
      <text>
        <r>
          <rPr>
            <sz val="11"/>
            <color theme="1"/>
            <rFont val="Aptos Narrow"/>
            <family val="2"/>
            <scheme val="minor"/>
          </rPr>
          <t xml:space="preserve">Anna Fernandes:
Pack 7 mocha medium separately for gifting 
</t>
        </r>
      </text>
    </comment>
    <comment ref="A260" authorId="0" shapeId="0" xr:uid="{8BCA7F9D-77AD-40B6-A519-222121353AC1}">
      <text>
        <r>
          <rPr>
            <sz val="11"/>
            <color theme="1"/>
            <rFont val="Aptos Narrow"/>
            <family val="2"/>
            <scheme val="minor"/>
          </rPr>
          <t>Anna Fernandes:
Pack 5 Rum Drop Medium Seperately.</t>
        </r>
      </text>
    </comment>
    <comment ref="A280" authorId="0" shapeId="0" xr:uid="{DA63A134-6CD7-4A2D-BF33-520EC955022B}">
      <text>
        <r>
          <rPr>
            <sz val="11"/>
            <color theme="1"/>
            <rFont val="Aptos Narrow"/>
            <family val="2"/>
            <scheme val="minor"/>
          </rPr>
          <t>Anna Fernandes:
wants a note in one of the mid egg saying, happy 1st Easter</t>
        </r>
      </text>
    </comment>
    <comment ref="A331" authorId="0" shapeId="0" xr:uid="{45C885F0-FFE0-4561-AC69-866E84165A45}">
      <text>
        <r>
          <rPr>
            <sz val="11"/>
            <color theme="1"/>
            <rFont val="Aptos Narrow"/>
            <family val="2"/>
            <scheme val="minor"/>
          </rPr>
          <t xml:space="preserve">Anna Fernandes:
no rum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Anna Fernandes</author>
  </authors>
  <commentList>
    <comment ref="J28" authorId="0" shapeId="0" xr:uid="{3977C6D5-E2EE-4466-B7DA-46B85CEFDE1D}">
      <text>
        <r>
          <rPr>
            <sz val="11"/>
            <color theme="1"/>
            <rFont val="Aptos Narrow"/>
            <family val="2"/>
            <scheme val="minor"/>
          </rPr>
          <t xml:space="preserve">Anna Fernandes:
Considered Milk Chocolate for average slabs needed per basket of 5 mini eggs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<sst xmlns="http://schemas.openxmlformats.org/spreadsheetml/2006/main" count="2452" uniqueCount="260">
  <si>
    <t>🐰EASTER   EGGS   ORDERS - 2026 🐰</t>
  </si>
  <si>
    <t>Profit</t>
  </si>
  <si>
    <t>=SUMIF('Order sheet'!$J$6:$J$106,"</t>
  </si>
  <si>
    <t>Total Sales 💵</t>
  </si>
  <si>
    <t>Total Quantity 📦</t>
  </si>
  <si>
    <t xml:space="preserve">Total Customers </t>
  </si>
  <si>
    <t>Profit %</t>
  </si>
  <si>
    <t>Name</t>
  </si>
  <si>
    <t>Product Name</t>
  </si>
  <si>
    <t xml:space="preserve">Quantity </t>
  </si>
  <si>
    <t>Price (Per Unit ₹)</t>
  </si>
  <si>
    <t>Total Payment</t>
  </si>
  <si>
    <t xml:space="preserve">Delivery Date </t>
  </si>
  <si>
    <t xml:space="preserve">Order status </t>
  </si>
  <si>
    <t xml:space="preserve">Payment </t>
  </si>
  <si>
    <t>Payment Reciever</t>
  </si>
  <si>
    <t>Advance paid</t>
  </si>
  <si>
    <t>Extra</t>
  </si>
  <si>
    <t>Aaron Arul</t>
  </si>
  <si>
    <t>Almond Crunch Dark Medium</t>
  </si>
  <si>
    <t xml:space="preserve">🚚 Delivered  </t>
  </si>
  <si>
    <t xml:space="preserve">✅ Paid in Full </t>
  </si>
  <si>
    <t>Anna</t>
  </si>
  <si>
    <t>UPI Anna</t>
  </si>
  <si>
    <t xml:space="preserve">Bunny Pop Milk </t>
  </si>
  <si>
    <t>Rum Drop Medium</t>
  </si>
  <si>
    <t>Adrian</t>
  </si>
  <si>
    <t>Blueberry Bliss Medium</t>
  </si>
  <si>
    <t>Cookie and Dreams Medium</t>
  </si>
  <si>
    <t>Agnelo</t>
  </si>
  <si>
    <t>Almond Crunch Milk Medium</t>
  </si>
  <si>
    <t>Mocha Pop Medium</t>
  </si>
  <si>
    <t xml:space="preserve">Alam Bhaiya </t>
  </si>
  <si>
    <t xml:space="preserve">Almond Crunch Milk Mini </t>
  </si>
  <si>
    <t>Alena</t>
  </si>
  <si>
    <t>Mini Egglet Basket</t>
  </si>
  <si>
    <t>Cash</t>
  </si>
  <si>
    <t xml:space="preserve">Party Popper </t>
  </si>
  <si>
    <t>Aletta</t>
  </si>
  <si>
    <t xml:space="preserve">Almond Crunch Dark Mini </t>
  </si>
  <si>
    <t xml:space="preserve">Cookie and Dreams Mini </t>
  </si>
  <si>
    <t>Alfiya Shaikh</t>
  </si>
  <si>
    <t xml:space="preserve">Blueberry Bliss Mini </t>
  </si>
  <si>
    <t xml:space="preserve">Mocha Pop mini </t>
  </si>
  <si>
    <t xml:space="preserve">Allwyans </t>
  </si>
  <si>
    <t>Sarah</t>
  </si>
  <si>
    <t>UPI Sarah</t>
  </si>
  <si>
    <t>Plain Milk Mini</t>
  </si>
  <si>
    <t>Amrita's</t>
  </si>
  <si>
    <t>Anaya</t>
  </si>
  <si>
    <t>cash</t>
  </si>
  <si>
    <t>Plain Dark Mini</t>
  </si>
  <si>
    <t>Plain White Mini</t>
  </si>
  <si>
    <t>Andrea's Mom</t>
  </si>
  <si>
    <t>Arwa</t>
  </si>
  <si>
    <t xml:space="preserve">Almond Crunch Milk Large </t>
  </si>
  <si>
    <t>Bold &amp; Plain Milk Large</t>
  </si>
  <si>
    <t>Bunny Pop Dark</t>
  </si>
  <si>
    <t>Cookie And Dreams Large</t>
  </si>
  <si>
    <t>Mocha Pop Large</t>
  </si>
  <si>
    <t>Rum Drop Large</t>
  </si>
  <si>
    <t>Audrey</t>
  </si>
  <si>
    <t xml:space="preserve">Rum Drop Mini </t>
  </si>
  <si>
    <t>Blanka</t>
  </si>
  <si>
    <t>Bold &amp; Plain Dark Large</t>
  </si>
  <si>
    <t>Bold &amp; Plain White Large</t>
  </si>
  <si>
    <t>Blossom Pereira</t>
  </si>
  <si>
    <t>Brendan</t>
  </si>
  <si>
    <t>Carol</t>
  </si>
  <si>
    <t>Almond Crunch Dark Large</t>
  </si>
  <si>
    <t>Cecilia D'Souza</t>
  </si>
  <si>
    <t>Christopher Uncle</t>
  </si>
  <si>
    <t>Claudie</t>
  </si>
  <si>
    <t xml:space="preserve">Crystal </t>
  </si>
  <si>
    <t>add 15</t>
  </si>
  <si>
    <t>Plain Milk Medium</t>
  </si>
  <si>
    <t>Debby</t>
  </si>
  <si>
    <t>Denise</t>
  </si>
  <si>
    <t>Desi</t>
  </si>
  <si>
    <t>Donna mom</t>
  </si>
  <si>
    <t>Dorothy</t>
  </si>
  <si>
    <t>Dr. Aimen</t>
  </si>
  <si>
    <t xml:space="preserve">Dr. Arundhati </t>
  </si>
  <si>
    <t>⏳ Pending</t>
  </si>
  <si>
    <t xml:space="preserve">❌ No payment Made </t>
  </si>
  <si>
    <t>Dr. Bhakti</t>
  </si>
  <si>
    <t>Driver Uncle</t>
  </si>
  <si>
    <t>Elaine</t>
  </si>
  <si>
    <t>add 10</t>
  </si>
  <si>
    <t>Elaine Pinto</t>
  </si>
  <si>
    <t>Elvena</t>
  </si>
  <si>
    <t>Elvira</t>
  </si>
  <si>
    <t>Plain Dark Medium</t>
  </si>
  <si>
    <t>Plain White Medium</t>
  </si>
  <si>
    <t>Erica</t>
  </si>
  <si>
    <t>Feroz</t>
  </si>
  <si>
    <t>Flovin</t>
  </si>
  <si>
    <t xml:space="preserve">Francisca </t>
  </si>
  <si>
    <t>Gloria</t>
  </si>
  <si>
    <t>Greta</t>
  </si>
  <si>
    <t xml:space="preserve">Harshada </t>
  </si>
  <si>
    <t xml:space="preserve">Hester </t>
  </si>
  <si>
    <t xml:space="preserve">Ivan </t>
  </si>
  <si>
    <t>Janhavi</t>
  </si>
  <si>
    <t>Joan D'Silva</t>
  </si>
  <si>
    <t>Josepha</t>
  </si>
  <si>
    <t>Jude</t>
  </si>
  <si>
    <t>Juliana aunty</t>
  </si>
  <si>
    <t>Kenneth</t>
  </si>
  <si>
    <t>Kevin</t>
  </si>
  <si>
    <t xml:space="preserve">Latika </t>
  </si>
  <si>
    <t xml:space="preserve">Lovinta </t>
  </si>
  <si>
    <t>Lydia</t>
  </si>
  <si>
    <t>Monika</t>
  </si>
  <si>
    <t>Myron 1</t>
  </si>
  <si>
    <t>Myron 2</t>
  </si>
  <si>
    <t>Myron 3</t>
  </si>
  <si>
    <t>Neil</t>
  </si>
  <si>
    <t>Nisha</t>
  </si>
  <si>
    <t>Rachana</t>
  </si>
  <si>
    <t>Rachel</t>
  </si>
  <si>
    <t>Raisa Braganza</t>
  </si>
  <si>
    <t>Rebecca Moraes</t>
  </si>
  <si>
    <t>Regina Pereira</t>
  </si>
  <si>
    <t>Reuben</t>
  </si>
  <si>
    <t>Riccardo</t>
  </si>
  <si>
    <t>Rohan</t>
  </si>
  <si>
    <t>Rohan Francis</t>
  </si>
  <si>
    <t>Rohit Khadde</t>
  </si>
  <si>
    <t>Roohan</t>
  </si>
  <si>
    <t>Rowena</t>
  </si>
  <si>
    <t>Saahil Lazar</t>
  </si>
  <si>
    <t>Sabi</t>
  </si>
  <si>
    <t>Sandeep</t>
  </si>
  <si>
    <t xml:space="preserve">Sandra </t>
  </si>
  <si>
    <t>Sanjit</t>
  </si>
  <si>
    <t>Sarahs Mom</t>
  </si>
  <si>
    <t>Savios mom</t>
  </si>
  <si>
    <t>Seanna</t>
  </si>
  <si>
    <t xml:space="preserve">Sharan </t>
  </si>
  <si>
    <t>Shiny</t>
  </si>
  <si>
    <t>Shweta Di</t>
  </si>
  <si>
    <t>Shweta Sister</t>
  </si>
  <si>
    <t>Smita D'Cruz</t>
  </si>
  <si>
    <t>Stanley Uncle</t>
  </si>
  <si>
    <t>Suzana</t>
  </si>
  <si>
    <t>Trisha</t>
  </si>
  <si>
    <t>Usha Varghese</t>
  </si>
  <si>
    <t>Vijaylaxmi</t>
  </si>
  <si>
    <t>Vinay</t>
  </si>
  <si>
    <t>Vyashnavi</t>
  </si>
  <si>
    <t xml:space="preserve">Wadiawala Sir </t>
  </si>
  <si>
    <t>Melvin</t>
  </si>
  <si>
    <t xml:space="preserve">Extra </t>
  </si>
  <si>
    <t xml:space="preserve">ORDERS PER ITEM - Calculates automatically </t>
  </si>
  <si>
    <t xml:space="preserve">Total Quantity </t>
  </si>
  <si>
    <t>In Stock</t>
  </si>
  <si>
    <t xml:space="preserve">Order to make </t>
  </si>
  <si>
    <t>Grand Total</t>
  </si>
  <si>
    <t>🏭  PRODUCTION PLANNER  |  Mar 15 – Apr 5, 2026  (3 Weeks)</t>
  </si>
  <si>
    <t>📅 WEEK-BY-WEEK PLAN</t>
  </si>
  <si>
    <t>Week 1  Mar 15–21</t>
  </si>
  <si>
    <t>Take orders · Buy stock · Test blueberry recipe · Confirm all flavours</t>
  </si>
  <si>
    <t>Week 2  Mar 22–28</t>
  </si>
  <si>
    <t>Bulk produce Mini &amp; Medium · Confirm all orders · Start packaging</t>
  </si>
  <si>
    <t>Week 3  Mar 29–Apr 5</t>
  </si>
  <si>
    <t>Produce Large eggs · Bunny Pops · Baskets · Final pack &amp; deliver by Apr 4</t>
  </si>
  <si>
    <t>📊 PLANNED QUANTITIES —calculates automatically</t>
  </si>
  <si>
    <t>Making cost Per Egg</t>
  </si>
  <si>
    <t>Chocolate slabs Bought</t>
  </si>
  <si>
    <t>Product</t>
  </si>
  <si>
    <t>Planned Qty
( DO NOT EDIT ! )</t>
  </si>
  <si>
    <t>Making Cost (₹)</t>
  </si>
  <si>
    <t>Overhead 12% (₹)</t>
  </si>
  <si>
    <t>Total Cost (₹)</t>
  </si>
  <si>
    <t xml:space="preserve">Making Cost Per egg </t>
  </si>
  <si>
    <t>Type</t>
  </si>
  <si>
    <t>Per Slab (₹)</t>
  </si>
  <si>
    <t>Quantity bought</t>
  </si>
  <si>
    <t>Total</t>
  </si>
  <si>
    <t>Dark</t>
  </si>
  <si>
    <t>Milk</t>
  </si>
  <si>
    <t>White</t>
  </si>
  <si>
    <t>Chocolate slabs needed</t>
  </si>
  <si>
    <t>Size</t>
  </si>
  <si>
    <t>Output per slab</t>
  </si>
  <si>
    <t>Slabs needed</t>
  </si>
  <si>
    <t>Quantity eggs</t>
  </si>
  <si>
    <t>Total Cost for slabs</t>
  </si>
  <si>
    <t>Mini</t>
  </si>
  <si>
    <t>Medium</t>
  </si>
  <si>
    <t>Large</t>
  </si>
  <si>
    <t xml:space="preserve">Discounted Price </t>
  </si>
  <si>
    <t xml:space="preserve">Material Cost ( Can Edit) </t>
  </si>
  <si>
    <t xml:space="preserve">Chocolate cost </t>
  </si>
  <si>
    <t xml:space="preserve">Box Cost </t>
  </si>
  <si>
    <t>Plastic Cost</t>
  </si>
  <si>
    <t>Ribbon Cost</t>
  </si>
  <si>
    <t xml:space="preserve">Almond Cost </t>
  </si>
  <si>
    <t xml:space="preserve">Blueberry cost </t>
  </si>
  <si>
    <t xml:space="preserve">Coffee cost </t>
  </si>
  <si>
    <t xml:space="preserve">Rum cost </t>
  </si>
  <si>
    <t>C&amp;D cost</t>
  </si>
  <si>
    <t>Stick Cost</t>
  </si>
  <si>
    <t>Making Cost</t>
  </si>
  <si>
    <t>Margin</t>
  </si>
  <si>
    <t>Item</t>
  </si>
  <si>
    <t>Value</t>
  </si>
  <si>
    <t>Milk Slab Price</t>
  </si>
  <si>
    <t>Dark Slab Price</t>
  </si>
  <si>
    <t>White Slab Price</t>
  </si>
  <si>
    <t>Mini Eggs per Slab</t>
  </si>
  <si>
    <t>Medium Eggs per Slab</t>
  </si>
  <si>
    <t>Large Eggs per Slab</t>
  </si>
  <si>
    <t>Bunny Pops per Slab</t>
  </si>
  <si>
    <t>Box Cost</t>
  </si>
  <si>
    <t>Mini Eggs per Box</t>
  </si>
  <si>
    <t>Medium Eggs per Box</t>
  </si>
  <si>
    <t>Plastic Sheet Cost</t>
  </si>
  <si>
    <t>Bunny Pops per Sheet</t>
  </si>
  <si>
    <t xml:space="preserve">Party Popper Per Slab </t>
  </si>
  <si>
    <t>Orders Per Ribbon</t>
  </si>
  <si>
    <t>Almonds Cost per Egg</t>
  </si>
  <si>
    <t>Blueberry Cost per Egg</t>
  </si>
  <si>
    <t>Coffee Cost per Egg</t>
  </si>
  <si>
    <t>Rum Cost per Egg</t>
  </si>
  <si>
    <t>Cookie &amp; Dreams per Egg</t>
  </si>
  <si>
    <t>Plastic Glass</t>
  </si>
  <si>
    <t>party pooper per box</t>
  </si>
  <si>
    <t>Big box</t>
  </si>
  <si>
    <t>Large Egg per box (Big Box</t>
  </si>
  <si>
    <t xml:space="preserve">Mini Eggs per plastic </t>
  </si>
  <si>
    <t>Medium Eggs per plastic</t>
  </si>
  <si>
    <t>Bunny Pop Milk per box</t>
  </si>
  <si>
    <t>Labels</t>
  </si>
  <si>
    <t>Stick box</t>
  </si>
  <si>
    <t>Number of stick per box</t>
  </si>
  <si>
    <t xml:space="preserve">Mini egglet per slab </t>
  </si>
  <si>
    <t xml:space="preserve">Product name </t>
  </si>
  <si>
    <t>Chocolate type</t>
  </si>
  <si>
    <t xml:space="preserve">Cost </t>
  </si>
  <si>
    <t>Quantity</t>
  </si>
  <si>
    <t>💰Advance Paid</t>
  </si>
  <si>
    <t xml:space="preserve">🔄 In Progress  </t>
  </si>
  <si>
    <t xml:space="preserve">✅ Ready  </t>
  </si>
  <si>
    <t>❌ Cancelled</t>
  </si>
  <si>
    <t>TOTAL</t>
  </si>
  <si>
    <t>EXPENSE</t>
  </si>
  <si>
    <t>PAYOUT BALANCE</t>
  </si>
  <si>
    <t>Payment Recived</t>
  </si>
  <si>
    <t xml:space="preserve">Amount </t>
  </si>
  <si>
    <t xml:space="preserve">Amount Spent </t>
  </si>
  <si>
    <t xml:space="preserve">Name </t>
  </si>
  <si>
    <t>Amount Held</t>
  </si>
  <si>
    <t>(-)Expense</t>
  </si>
  <si>
    <t>Balance</t>
  </si>
  <si>
    <t xml:space="preserve">Sarah </t>
  </si>
  <si>
    <t xml:space="preserve">Pending </t>
  </si>
  <si>
    <t xml:space="preserve">Per Person Split </t>
  </si>
  <si>
    <t xml:space="preserve">Net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</si>
</sst>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[$₹-439]#,##0"/>
    <numFmt numFmtId="165" formatCode="[$₹-448]\ #,##0.00"/>
    <numFmt numFmtId="166" formatCode="[$-409]mmmm\ d\,\ yyyy;@"/>
    <numFmt numFmtId="167" formatCode="[$₹-439]#,##0.0"/>
    <numFmt numFmtId="168" formatCode="[$₹-446]\ #,##0.00"/>
    <numFmt numFmtId="169" formatCode="[$₹-44E]#,##0.00"/>
    <numFmt numFmtId="170" formatCode="[$₹-4009]#,##0.00"/>
    <numFmt numFmtId="171" formatCode="[$₹-457]#,##0.00"/>
    <numFmt numFmtId="172" formatCode="[$₹-449]\ #,##0.00"/>
    <numFmt numFmtId="173" formatCode="[$₹-44F]\ #,##0.00"/>
    <numFmt numFmtId="174" formatCode="[$₹-44A]#,##0.00"/>
    <numFmt numFmtId="175" formatCode="[$₹-457]\ #,##0.00"/>
    <numFmt numFmtId="176" formatCode="0_);[Red]\(0\)"/>
    <numFmt numFmtId="177" formatCode="0.0"/>
    <numFmt numFmtId="178" formatCode="_ [$₹-448]\ * #,##0_ ;_ [$₹-448]\ * \-#,##0_ ;_ [$₹-448]\ * &quot;-&quot;_ ;_ @_ "/>
    <numFmt numFmtId="179" formatCode="[$₹-448]\ #,##0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7A6E"/>
      <name val="Arial"/>
      <charset val="1"/>
    </font>
    <font>
      <sz val="10"/>
      <color rgb="FF1C1C1C"/>
      <name val="Arial"/>
      <charset val="1"/>
    </font>
    <font>
      <sz val="11"/>
      <color rgb="FF000000"/>
      <name val="Calibri"/>
      <family val="2"/>
      <charset val="1"/>
    </font>
    <font>
      <b/>
      <sz val="10"/>
      <color rgb="FF0000FF"/>
      <name val="Arial"/>
      <charset val="1"/>
    </font>
    <font>
      <b/>
      <sz val="10"/>
      <color rgb="FF217346"/>
      <name val="Arial"/>
      <charset val="1"/>
    </font>
    <font>
      <b/>
      <sz val="11"/>
      <color rgb="FFFFFFFF"/>
      <name val="Arial"/>
      <charset val="1"/>
    </font>
    <font>
      <b/>
      <sz val="12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9C0006"/>
      <name val="Aptos Narrow"/>
      <family val="2"/>
      <scheme val="minor"/>
    </font>
    <font>
      <b/>
      <sz val="10"/>
      <color theme="0"/>
      <name val="Arial"/>
      <charset val="1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theme="0"/>
      <name val="Calibri"/>
    </font>
    <font>
      <b/>
      <sz val="10"/>
      <color rgb="FFFF0000"/>
      <name val="Arial"/>
      <charset val="1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family val="2"/>
    </font>
    <font>
      <sz val="10"/>
      <color rgb="FF000000"/>
      <name val="Arial"/>
      <charset val="1"/>
    </font>
    <font>
      <b/>
      <sz val="11"/>
      <color rgb="FF9C0006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1"/>
      <color rgb="FFC00000"/>
      <name val="Calibri"/>
      <family val="2"/>
    </font>
    <font>
      <b/>
      <sz val="10"/>
      <color rgb="FFC00000"/>
      <name val="Arial"/>
      <charset val="1"/>
    </font>
    <font>
      <b/>
      <sz val="11"/>
      <color rgb="FFC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A7A6E"/>
        <bgColor rgb="FF217346"/>
      </patternFill>
    </fill>
    <fill>
      <patternFill patternType="solid">
        <fgColor rgb="FFE8F5F3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3F2FD"/>
        <bgColor rgb="FFE8F5F3"/>
      </patternFill>
    </fill>
    <fill>
      <patternFill patternType="solid">
        <fgColor rgb="FF1A7A6E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rgb="FF000000"/>
      </patternFill>
    </fill>
    <fill>
      <patternFill patternType="solid">
        <fgColor rgb="FFF5F5F5"/>
        <bgColor rgb="FFE8F5F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7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210">
    <xf numFmtId="0" fontId="0" fillId="0" borderId="0" xfId="0"/>
    <xf numFmtId="164" fontId="0" fillId="0" borderId="0" xfId="0" applyNumberFormat="1"/>
    <xf numFmtId="0" fontId="8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166" fontId="3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68" fontId="16" fillId="7" borderId="0" xfId="2" applyNumberFormat="1" applyAlignment="1">
      <alignment horizontal="center" vertical="center"/>
    </xf>
    <xf numFmtId="0" fontId="16" fillId="7" borderId="0" xfId="2" applyAlignment="1">
      <alignment horizontal="center" vertical="center"/>
    </xf>
    <xf numFmtId="166" fontId="15" fillId="6" borderId="0" xfId="0" applyNumberFormat="1" applyFont="1" applyFill="1" applyAlignment="1">
      <alignment horizontal="center" vertical="center"/>
    </xf>
    <xf numFmtId="0" fontId="7" fillId="4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16" fillId="7" borderId="1" xfId="2" applyBorder="1" applyAlignment="1">
      <alignment horizontal="center" vertical="center" wrapText="1"/>
    </xf>
    <xf numFmtId="169" fontId="7" fillId="5" borderId="1" xfId="0" applyNumberFormat="1" applyFont="1" applyFill="1" applyBorder="1" applyAlignment="1">
      <alignment horizontal="center" vertical="center" wrapText="1"/>
    </xf>
    <xf numFmtId="168" fontId="10" fillId="5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71" fontId="9" fillId="3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Fill="1" applyBorder="1"/>
    <xf numFmtId="166" fontId="18" fillId="0" borderId="0" xfId="0" applyNumberFormat="1" applyFont="1" applyAlignment="1">
      <alignment horizontal="center" vertical="center"/>
    </xf>
    <xf numFmtId="0" fontId="22" fillId="0" borderId="0" xfId="0" applyFont="1" applyBorder="1"/>
    <xf numFmtId="0" fontId="0" fillId="0" borderId="0" xfId="0" applyBorder="1"/>
    <xf numFmtId="172" fontId="18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/>
    <xf numFmtId="0" fontId="2" fillId="0" borderId="1" xfId="0" applyFont="1" applyBorder="1" applyAlignment="1"/>
    <xf numFmtId="0" fontId="7" fillId="9" borderId="1" xfId="0" applyFont="1" applyFill="1" applyBorder="1" applyAlignment="1">
      <alignment wrapText="1"/>
    </xf>
    <xf numFmtId="169" fontId="7" fillId="5" borderId="2" xfId="0" applyNumberFormat="1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169" fontId="17" fillId="6" borderId="3" xfId="0" applyNumberFormat="1" applyFont="1" applyFill="1" applyBorder="1" applyAlignment="1">
      <alignment horizontal="center" vertical="center" wrapText="1"/>
    </xf>
    <xf numFmtId="168" fontId="17" fillId="6" borderId="3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7" fillId="7" borderId="1" xfId="3" applyFont="1" applyFill="1" applyBorder="1" applyAlignment="1">
      <alignment horizontal="center"/>
    </xf>
    <xf numFmtId="0" fontId="27" fillId="7" borderId="5" xfId="3" applyFont="1" applyFill="1" applyBorder="1" applyAlignment="1">
      <alignment horizontal="center"/>
    </xf>
    <xf numFmtId="0" fontId="27" fillId="7" borderId="2" xfId="3" applyFont="1" applyFill="1" applyBorder="1" applyAlignment="1">
      <alignment horizontal="center"/>
    </xf>
    <xf numFmtId="0" fontId="27" fillId="7" borderId="9" xfId="3" applyFont="1" applyFill="1" applyBorder="1" applyAlignment="1">
      <alignment horizontal="center"/>
    </xf>
    <xf numFmtId="0" fontId="7" fillId="9" borderId="1" xfId="0" applyFont="1" applyFill="1" applyBorder="1" applyAlignment="1"/>
    <xf numFmtId="174" fontId="3" fillId="0" borderId="5" xfId="0" applyNumberFormat="1" applyFont="1" applyBorder="1" applyAlignment="1">
      <alignment horizontal="center"/>
    </xf>
    <xf numFmtId="174" fontId="25" fillId="4" borderId="1" xfId="0" applyNumberFormat="1" applyFont="1" applyFill="1" applyBorder="1" applyAlignment="1">
      <alignment horizontal="center" wrapText="1"/>
    </xf>
    <xf numFmtId="174" fontId="3" fillId="0" borderId="1" xfId="0" applyNumberFormat="1" applyFont="1" applyBorder="1" applyAlignment="1">
      <alignment horizontal="center"/>
    </xf>
    <xf numFmtId="174" fontId="3" fillId="0" borderId="9" xfId="0" applyNumberFormat="1" applyFont="1" applyBorder="1" applyAlignment="1">
      <alignment horizontal="center"/>
    </xf>
    <xf numFmtId="174" fontId="3" fillId="0" borderId="2" xfId="0" applyNumberFormat="1" applyFont="1" applyBorder="1" applyAlignment="1">
      <alignment horizontal="center"/>
    </xf>
    <xf numFmtId="174" fontId="0" fillId="0" borderId="1" xfId="0" applyNumberFormat="1" applyBorder="1" applyAlignment="1">
      <alignment horizontal="center"/>
    </xf>
    <xf numFmtId="174" fontId="0" fillId="0" borderId="5" xfId="0" applyNumberFormat="1" applyBorder="1" applyAlignment="1">
      <alignment horizontal="center"/>
    </xf>
    <xf numFmtId="173" fontId="3" fillId="0" borderId="7" xfId="0" applyNumberFormat="1" applyFont="1" applyBorder="1" applyAlignment="1">
      <alignment horizontal="center"/>
    </xf>
    <xf numFmtId="173" fontId="3" fillId="0" borderId="11" xfId="0" applyNumberFormat="1" applyFont="1" applyBorder="1" applyAlignment="1">
      <alignment horizontal="center"/>
    </xf>
    <xf numFmtId="170" fontId="21" fillId="3" borderId="1" xfId="0" applyNumberFormat="1" applyFont="1" applyFill="1" applyBorder="1" applyAlignment="1">
      <alignment horizontal="center" vertical="center" wrapText="1"/>
    </xf>
    <xf numFmtId="170" fontId="17" fillId="2" borderId="2" xfId="0" applyNumberFormat="1" applyFont="1" applyFill="1" applyBorder="1" applyAlignment="1">
      <alignment horizontal="center" vertical="center" wrapText="1"/>
    </xf>
    <xf numFmtId="0" fontId="26" fillId="7" borderId="1" xfId="2" applyFont="1" applyBorder="1" applyAlignment="1">
      <alignment horizontal="center" vertical="center" wrapText="1"/>
    </xf>
    <xf numFmtId="169" fontId="11" fillId="6" borderId="3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4" fontId="28" fillId="0" borderId="0" xfId="0" applyNumberFormat="1" applyFont="1" applyBorder="1" applyAlignment="1"/>
    <xf numFmtId="0" fontId="22" fillId="0" borderId="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/>
    <xf numFmtId="173" fontId="3" fillId="0" borderId="2" xfId="0" applyNumberFormat="1" applyFont="1" applyBorder="1" applyAlignment="1">
      <alignment horizontal="center"/>
    </xf>
    <xf numFmtId="174" fontId="3" fillId="0" borderId="8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/>
    <xf numFmtId="172" fontId="3" fillId="0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NumberFormat="1" applyFont="1" applyBorder="1" applyAlignment="1"/>
    <xf numFmtId="0" fontId="25" fillId="4" borderId="1" xfId="0" applyNumberFormat="1" applyFont="1" applyFill="1" applyBorder="1" applyAlignment="1">
      <alignment wrapText="1"/>
    </xf>
    <xf numFmtId="0" fontId="25" fillId="9" borderId="1" xfId="0" applyNumberFormat="1" applyFont="1" applyFill="1" applyBorder="1" applyAlignment="1">
      <alignment wrapText="1"/>
    </xf>
    <xf numFmtId="0" fontId="3" fillId="0" borderId="2" xfId="0" applyNumberFormat="1" applyFont="1" applyBorder="1" applyAlignment="1"/>
    <xf numFmtId="0" fontId="0" fillId="0" borderId="0" xfId="0" applyBorder="1" applyAlignment="1">
      <alignment horizontal="left"/>
    </xf>
    <xf numFmtId="0" fontId="5" fillId="2" borderId="5" xfId="0" applyFont="1" applyFill="1" applyBorder="1" applyAlignment="1">
      <alignment horizontal="center" vertical="center" wrapText="1"/>
    </xf>
    <xf numFmtId="1" fontId="9" fillId="3" borderId="13" xfId="0" applyNumberFormat="1" applyFont="1" applyFill="1" applyBorder="1" applyAlignment="1">
      <alignment horizontal="center" vertical="center" wrapText="1"/>
    </xf>
    <xf numFmtId="0" fontId="26" fillId="7" borderId="1" xfId="2" applyFont="1" applyBorder="1" applyAlignment="1">
      <alignment horizontal="center" vertical="center"/>
    </xf>
    <xf numFmtId="0" fontId="26" fillId="7" borderId="9" xfId="2" applyFont="1" applyBorder="1" applyAlignment="1">
      <alignment horizontal="center" vertical="center" wrapText="1"/>
    </xf>
    <xf numFmtId="0" fontId="29" fillId="3" borderId="13" xfId="0" applyNumberFormat="1" applyFont="1" applyFill="1" applyBorder="1" applyAlignment="1">
      <alignment horizontal="center" vertical="center" wrapText="1"/>
    </xf>
    <xf numFmtId="175" fontId="30" fillId="0" borderId="1" xfId="0" applyNumberFormat="1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30" fillId="0" borderId="13" xfId="0" applyNumberFormat="1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" fontId="9" fillId="3" borderId="16" xfId="0" applyNumberFormat="1" applyFont="1" applyFill="1" applyBorder="1" applyAlignment="1">
      <alignment horizontal="center" vertical="center" wrapText="1"/>
    </xf>
    <xf numFmtId="0" fontId="30" fillId="0" borderId="16" xfId="0" applyNumberFormat="1" applyFont="1" applyBorder="1" applyAlignment="1">
      <alignment horizontal="center" vertical="center"/>
    </xf>
    <xf numFmtId="0" fontId="30" fillId="0" borderId="1" xfId="0" applyNumberFormat="1" applyFont="1" applyBorder="1" applyAlignment="1">
      <alignment horizontal="center" vertical="center"/>
    </xf>
    <xf numFmtId="175" fontId="30" fillId="0" borderId="2" xfId="0" applyNumberFormat="1" applyFont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169" fontId="13" fillId="6" borderId="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10" borderId="1" xfId="0" applyFont="1" applyFill="1" applyBorder="1" applyAlignment="1"/>
    <xf numFmtId="0" fontId="0" fillId="0" borderId="2" xfId="0" applyBorder="1"/>
    <xf numFmtId="0" fontId="0" fillId="0" borderId="2" xfId="0" applyNumberFormat="1" applyBorder="1"/>
    <xf numFmtId="174" fontId="19" fillId="0" borderId="1" xfId="0" applyNumberFormat="1" applyFont="1" applyBorder="1" applyAlignment="1">
      <alignment horizontal="center"/>
    </xf>
    <xf numFmtId="0" fontId="3" fillId="11" borderId="1" xfId="0" applyNumberFormat="1" applyFont="1" applyFill="1" applyBorder="1" applyAlignment="1"/>
    <xf numFmtId="0" fontId="4" fillId="0" borderId="0" xfId="0" applyFont="1" applyFill="1" applyBorder="1" applyAlignment="1">
      <alignment vertical="center" wrapText="1"/>
    </xf>
    <xf numFmtId="174" fontId="18" fillId="0" borderId="2" xfId="0" applyNumberFormat="1" applyFont="1" applyBorder="1" applyAlignment="1">
      <alignment horizontal="center"/>
    </xf>
    <xf numFmtId="0" fontId="0" fillId="11" borderId="2" xfId="0" applyFill="1" applyBorder="1"/>
    <xf numFmtId="174" fontId="2" fillId="0" borderId="5" xfId="0" applyNumberFormat="1" applyFont="1" applyBorder="1" applyAlignment="1">
      <alignment horizontal="center"/>
    </xf>
    <xf numFmtId="174" fontId="19" fillId="0" borderId="5" xfId="0" applyNumberFormat="1" applyFont="1" applyBorder="1" applyAlignment="1">
      <alignment horizontal="center"/>
    </xf>
    <xf numFmtId="174" fontId="18" fillId="0" borderId="1" xfId="0" applyNumberFormat="1" applyFont="1" applyBorder="1" applyAlignment="1">
      <alignment horizontal="center"/>
    </xf>
    <xf numFmtId="173" fontId="18" fillId="0" borderId="1" xfId="0" applyNumberFormat="1" applyFont="1" applyBorder="1" applyAlignment="1">
      <alignment horizontal="center"/>
    </xf>
    <xf numFmtId="174" fontId="0" fillId="0" borderId="9" xfId="0" applyNumberFormat="1" applyBorder="1" applyAlignment="1">
      <alignment horizontal="center"/>
    </xf>
    <xf numFmtId="174" fontId="2" fillId="0" borderId="9" xfId="0" applyNumberFormat="1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74" fontId="3" fillId="0" borderId="7" xfId="0" applyNumberFormat="1" applyFont="1" applyBorder="1" applyAlignment="1">
      <alignment horizontal="center"/>
    </xf>
    <xf numFmtId="174" fontId="3" fillId="0" borderId="3" xfId="0" applyNumberFormat="1" applyFont="1" applyBorder="1" applyAlignment="1">
      <alignment horizontal="center"/>
    </xf>
    <xf numFmtId="174" fontId="0" fillId="0" borderId="7" xfId="0" applyNumberFormat="1" applyBorder="1" applyAlignment="1">
      <alignment horizontal="center"/>
    </xf>
    <xf numFmtId="174" fontId="2" fillId="0" borderId="7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4" fontId="28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30" fillId="7" borderId="7" xfId="2" applyFont="1" applyBorder="1" applyAlignment="1">
      <alignment horizontal="center" vertical="center" wrapText="1"/>
    </xf>
    <xf numFmtId="0" fontId="26" fillId="7" borderId="8" xfId="2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9" fillId="3" borderId="12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3" fillId="6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6" borderId="14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13" fillId="6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6" borderId="1" xfId="0" applyFont="1" applyFill="1" applyBorder="1"/>
    <xf numFmtId="0" fontId="0" fillId="0" borderId="5" xfId="0" applyBorder="1" applyAlignment="1">
      <alignment horizontal="center"/>
    </xf>
    <xf numFmtId="0" fontId="0" fillId="0" borderId="5" xfId="0" applyFont="1" applyBorder="1" applyAlignment="1">
      <alignment horizontal="center"/>
    </xf>
    <xf numFmtId="176" fontId="0" fillId="0" borderId="1" xfId="0" applyNumberFormat="1" applyBorder="1"/>
    <xf numFmtId="176" fontId="13" fillId="6" borderId="0" xfId="0" applyNumberFormat="1" applyFont="1" applyFill="1"/>
    <xf numFmtId="0" fontId="3" fillId="0" borderId="0" xfId="0" applyFont="1" applyFill="1" applyAlignment="1">
      <alignment horizontal="center" vertical="center" wrapText="1"/>
    </xf>
    <xf numFmtId="177" fontId="29" fillId="3" borderId="1" xfId="0" applyNumberFormat="1" applyFont="1" applyFill="1" applyBorder="1" applyAlignment="1">
      <alignment horizontal="center" vertical="center" wrapText="1"/>
    </xf>
    <xf numFmtId="177" fontId="13" fillId="6" borderId="3" xfId="0" applyNumberFormat="1" applyFont="1" applyFill="1" applyBorder="1" applyAlignment="1">
      <alignment horizontal="center" vertical="center"/>
    </xf>
    <xf numFmtId="174" fontId="19" fillId="0" borderId="9" xfId="0" applyNumberFormat="1" applyFont="1" applyBorder="1" applyAlignment="1">
      <alignment horizontal="center"/>
    </xf>
    <xf numFmtId="10" fontId="0" fillId="0" borderId="2" xfId="0" applyNumberFormat="1" applyBorder="1" applyAlignment="1">
      <alignment horizontal="center" vertical="center"/>
    </xf>
    <xf numFmtId="0" fontId="0" fillId="12" borderId="9" xfId="0" applyFill="1" applyBorder="1"/>
    <xf numFmtId="0" fontId="0" fillId="12" borderId="16" xfId="0" applyFill="1" applyBorder="1"/>
    <xf numFmtId="0" fontId="0" fillId="12" borderId="8" xfId="0" applyFill="1" applyBorder="1"/>
    <xf numFmtId="0" fontId="0" fillId="12" borderId="7" xfId="0" applyFill="1" applyBorder="1"/>
    <xf numFmtId="0" fontId="0" fillId="12" borderId="12" xfId="0" applyFill="1" applyBorder="1"/>
    <xf numFmtId="0" fontId="0" fillId="12" borderId="6" xfId="0" applyFill="1" applyBorder="1"/>
    <xf numFmtId="0" fontId="3" fillId="0" borderId="0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6" borderId="18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13" fillId="6" borderId="1" xfId="0" applyNumberFormat="1" applyFont="1" applyFill="1" applyBorder="1" applyAlignment="1">
      <alignment horizontal="center" vertical="center"/>
    </xf>
    <xf numFmtId="0" fontId="16" fillId="7" borderId="1" xfId="2" applyBorder="1" applyAlignment="1">
      <alignment horizontal="center" vertical="center"/>
    </xf>
    <xf numFmtId="178" fontId="16" fillId="7" borderId="4" xfId="2" applyNumberFormat="1" applyBorder="1" applyAlignment="1">
      <alignment horizontal="center" vertical="center"/>
    </xf>
    <xf numFmtId="178" fontId="13" fillId="6" borderId="4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0" fontId="14" fillId="6" borderId="2" xfId="1" applyNumberFormat="1" applyFont="1" applyFill="1" applyBorder="1" applyAlignment="1">
      <alignment horizontal="center" vertical="center" wrapText="1"/>
    </xf>
    <xf numFmtId="10" fontId="14" fillId="6" borderId="3" xfId="1" applyNumberFormat="1" applyFont="1" applyFill="1" applyBorder="1" applyAlignment="1">
      <alignment horizontal="center" vertical="center" wrapText="1"/>
    </xf>
    <xf numFmtId="167" fontId="13" fillId="6" borderId="2" xfId="0" applyNumberFormat="1" applyFont="1" applyFill="1" applyBorder="1" applyAlignment="1">
      <alignment horizontal="center" vertical="center" wrapText="1"/>
    </xf>
    <xf numFmtId="167" fontId="13" fillId="6" borderId="3" xfId="0" applyNumberFormat="1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6" borderId="13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center" vertical="center"/>
    </xf>
    <xf numFmtId="165" fontId="12" fillId="6" borderId="5" xfId="0" applyNumberFormat="1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/>
    </xf>
    <xf numFmtId="0" fontId="2" fillId="8" borderId="0" xfId="0" applyFont="1" applyFill="1" applyBorder="1" applyAlignment="1"/>
  </cellXfs>
  <cellStyles count="4">
    <cellStyle name="Bad" xfId="2" builtinId="27"/>
    <cellStyle name="Normal" xfId="0" builtinId="0"/>
    <cellStyle name="Percent" xfId="1" builtinId="5"/>
    <cellStyle name="Warning Text" xfId="3" builtinId="11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family val="2"/>
        <scheme val="none"/>
      </font>
      <numFmt numFmtId="174" formatCode="[$₹-44A]#,##0.00"/>
      <fill>
        <patternFill patternType="solid">
          <fgColor rgb="FFFCE4EC"/>
          <bgColor rgb="FFF3E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217346"/>
          <bgColor rgb="FF1A7A6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B4C6E7"/>
          <bgColor rgb="FFB4C6E7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B4C6E7"/>
          <bgColor rgb="FFB4C6E7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B4C6E7"/>
          <bgColor rgb="FFB4C6E7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B4C6E7"/>
          <bgColor rgb="FFB4C6E7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B4C6E7"/>
          <bgColor rgb="FFB4C6E7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[$-409]mmmm\ d\,\ yyyy;@"/>
      <fill>
        <patternFill patternType="none">
          <fgColor rgb="FFB4C6E7"/>
          <bgColor rgb="FFB4C6E7"/>
        </patternFill>
      </fill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₹-439]#,##0"/>
      <fill>
        <patternFill patternType="none">
          <fgColor rgb="FFB4C6E7"/>
          <bgColor rgb="FFB4C6E7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2" formatCode="[$₹-449]\ #,##0.00"/>
      <fill>
        <patternFill patternType="none">
          <fgColor rgb="FFB4C6E7"/>
          <bgColor rgb="FFB4C6E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B4C6E7"/>
          <bgColor rgb="FFB4C6E7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B4C6E7"/>
          <bgColor rgb="FFB4C6E7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B4C6E7"/>
          <bgColor rgb="FFB4C6E7"/>
        </patternFill>
      </fill>
      <alignment horizontal="center" vertical="center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B4C6E7"/>
          <bgColor rgb="FFB4C6E7"/>
        </patternFill>
      </fill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1A7A6E"/>
        </patternFill>
      </fill>
      <alignment horizontal="center" vertical="center"/>
    </dxf>
    <dxf>
      <fill>
        <patternFill patternType="solid">
          <fgColor indexed="64"/>
          <bgColor rgb="FF1A7A6E"/>
        </patternFill>
      </fill>
    </dxf>
    <dxf>
      <font>
        <color theme="0"/>
      </font>
    </dxf>
    <dxf>
      <fill>
        <patternFill patternType="solid">
          <fgColor indexed="64"/>
          <bgColor rgb="FF1A7A6E"/>
        </patternFill>
      </fill>
    </dxf>
    <dxf>
      <fill>
        <patternFill patternType="solid">
          <fgColor indexed="64"/>
          <bgColor rgb="FF1A7A6E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border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ill>
        <patternFill patternType="solid">
          <fgColor indexed="64"/>
          <bgColor rgb="FF1A7A6E"/>
        </patternFill>
      </fill>
    </dxf>
    <dxf>
      <fill>
        <patternFill patternType="solid">
          <fgColor indexed="64"/>
          <bgColor rgb="FF1A7A6E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1A7A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71.455096527781" createdVersion="8" refreshedVersion="8" minRefreshableVersion="3" recordCount="347" xr:uid="{9EB4E9A0-D0B8-4DD0-ABF7-C9669F12AB66}">
  <cacheSource type="worksheet">
    <worksheetSource name="Easter"/>
  </cacheSource>
  <cacheFields count="11">
    <cacheField name="Name" numFmtId="0">
      <sharedItems/>
    </cacheField>
    <cacheField name="Product Name" numFmtId="0">
      <sharedItems count="30">
        <s v="Almond Crunch Dark Medium"/>
        <s v="Bunny Pop Milk "/>
        <s v="Rum Drop Medium"/>
        <s v="Blueberry Bliss Medium"/>
        <s v="Cookie and Dreams Medium"/>
        <s v="Almond Crunch Milk Medium"/>
        <s v="Mocha Pop Medium"/>
        <s v="Almond Crunch Milk Mini "/>
        <s v="Mini Egglet Basket"/>
        <s v="Party Popper "/>
        <s v="Almond Crunch Dark Mini "/>
        <s v="Cookie and Dreams Mini "/>
        <s v="Blueberry Bliss Mini "/>
        <s v="Mocha Pop mini "/>
        <s v="Plain Milk Mini"/>
        <s v="Plain Dark Mini"/>
        <s v="Plain White Mini"/>
        <s v="Almond Crunch Milk Large "/>
        <s v="Bold &amp; Plain Milk Large"/>
        <s v="Bunny Pop Dark"/>
        <s v="Cookie And Dreams Large"/>
        <s v="Mocha Pop Large"/>
        <s v="Rum Drop Large"/>
        <s v="Rum Drop Mini "/>
        <s v="Bold &amp; Plain Dark Large"/>
        <s v="Bold &amp; Plain White Large"/>
        <s v="Almond Crunch Dark Large"/>
        <s v="Plain Milk Medium"/>
        <s v="Plain Dark Medium"/>
        <s v="Plain White Medium"/>
      </sharedItems>
    </cacheField>
    <cacheField name="Quantity " numFmtId="0">
      <sharedItems containsSemiMixedTypes="0" containsString="0" containsNumber="1" containsInteger="1" minValue="1" maxValue="98"/>
    </cacheField>
    <cacheField name="Price (Per Unit ₹)" numFmtId="172">
      <sharedItems containsSemiMixedTypes="0" containsString="0" containsNumber="1" containsInteger="1" minValue="20" maxValue="150"/>
    </cacheField>
    <cacheField name="Total Payment" numFmtId="164">
      <sharedItems containsSemiMixedTypes="0" containsString="0" containsNumber="1" containsInteger="1" minValue="20" maxValue="10780"/>
    </cacheField>
    <cacheField name="Delivery Date " numFmtId="166">
      <sharedItems containsSemiMixedTypes="0" containsNonDate="0" containsDate="1" containsString="0" minDate="2026-03-26T00:00:00" maxDate="2026-04-25T00:00:00"/>
    </cacheField>
    <cacheField name="Order status " numFmtId="0">
      <sharedItems containsBlank="1" count="6">
        <s v="🚚 Delivered  "/>
        <s v="⏳ Pending"/>
        <s v="❌ Cancelled" u="1"/>
        <s v="✅ Ready  " u="1"/>
        <s v="🔄 In Progress  " u="1"/>
        <m u="1"/>
      </sharedItems>
    </cacheField>
    <cacheField name="Payment " numFmtId="0">
      <sharedItems/>
    </cacheField>
    <cacheField name="Payment Reciever" numFmtId="0">
      <sharedItems/>
    </cacheField>
    <cacheField name="Advance paid" numFmtId="0">
      <sharedItems containsBlank="1"/>
    </cacheField>
    <cacheField name="Extra" numFmtId="0">
      <sharedItems containsBlank="1" containsMixedTypes="1" containsNumber="1" containsInteger="1" minValue="3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s v="Aaron Arul"/>
    <x v="0"/>
    <n v="1"/>
    <n v="60"/>
    <n v="60"/>
    <d v="2026-04-04T00:00:00"/>
    <x v="0"/>
    <s v="✅ Paid in Full "/>
    <s v="Anna"/>
    <s v="UPI Anna"/>
    <m/>
  </r>
  <r>
    <s v="Aaron Arul"/>
    <x v="1"/>
    <n v="2"/>
    <n v="40"/>
    <n v="80"/>
    <d v="2026-04-04T00:00:00"/>
    <x v="0"/>
    <s v="✅ Paid in Full "/>
    <s v="Anna"/>
    <s v="UPI Anna"/>
    <m/>
  </r>
  <r>
    <s v="Aaron Arul"/>
    <x v="2"/>
    <n v="1"/>
    <n v="55"/>
    <n v="55"/>
    <d v="2026-04-04T00:00:00"/>
    <x v="0"/>
    <s v="✅ Paid in Full "/>
    <s v="Anna"/>
    <s v="UPI Anna"/>
    <m/>
  </r>
  <r>
    <s v="Adrian"/>
    <x v="3"/>
    <n v="1"/>
    <n v="65"/>
    <n v="65"/>
    <d v="2026-04-04T00:00:00"/>
    <x v="0"/>
    <s v="✅ Paid in Full "/>
    <s v="Anna"/>
    <s v="UPI Anna"/>
    <m/>
  </r>
  <r>
    <s v="Adrian"/>
    <x v="4"/>
    <n v="4"/>
    <n v="60"/>
    <n v="240"/>
    <d v="2026-04-04T00:00:00"/>
    <x v="0"/>
    <s v="✅ Paid in Full "/>
    <s v="Anna"/>
    <s v="UPI Anna"/>
    <m/>
  </r>
  <r>
    <s v="Adrian"/>
    <x v="2"/>
    <n v="1"/>
    <n v="55"/>
    <n v="55"/>
    <d v="2026-04-04T00:00:00"/>
    <x v="0"/>
    <s v="✅ Paid in Full "/>
    <s v="Anna"/>
    <s v="UPI Anna"/>
    <m/>
  </r>
  <r>
    <s v="Agnelo"/>
    <x v="5"/>
    <n v="2"/>
    <n v="60"/>
    <n v="120"/>
    <d v="2026-04-04T00:00:00"/>
    <x v="0"/>
    <s v="✅ Paid in Full "/>
    <s v="Anna"/>
    <s v="UPI Anna"/>
    <m/>
  </r>
  <r>
    <s v="Agnelo"/>
    <x v="3"/>
    <n v="2"/>
    <n v="65"/>
    <n v="130"/>
    <d v="2026-04-04T00:00:00"/>
    <x v="0"/>
    <s v="✅ Paid in Full "/>
    <s v="Anna"/>
    <s v="UPI Anna"/>
    <m/>
  </r>
  <r>
    <s v="Agnelo"/>
    <x v="4"/>
    <n v="2"/>
    <n v="60"/>
    <n v="120"/>
    <d v="2026-04-04T00:00:00"/>
    <x v="0"/>
    <s v="✅ Paid in Full "/>
    <s v="Anna"/>
    <s v="UPI Anna"/>
    <m/>
  </r>
  <r>
    <s v="Agnelo"/>
    <x v="6"/>
    <n v="2"/>
    <n v="55"/>
    <n v="110"/>
    <d v="2026-04-04T00:00:00"/>
    <x v="0"/>
    <s v="✅ Paid in Full "/>
    <s v="Anna"/>
    <s v="UPI Anna"/>
    <m/>
  </r>
  <r>
    <s v="Agnelo"/>
    <x v="2"/>
    <n v="2"/>
    <n v="55"/>
    <n v="110"/>
    <d v="2026-04-04T00:00:00"/>
    <x v="0"/>
    <s v="✅ Paid in Full "/>
    <s v="Anna"/>
    <s v="UPI Anna"/>
    <m/>
  </r>
  <r>
    <s v="Alam Bhaiya "/>
    <x v="7"/>
    <n v="4"/>
    <n v="25"/>
    <n v="100"/>
    <d v="2026-04-05T00:00:00"/>
    <x v="0"/>
    <s v="✅ Paid in Full "/>
    <s v="Anna"/>
    <s v="UPI Anna"/>
    <m/>
  </r>
  <r>
    <s v="Alena"/>
    <x v="8"/>
    <n v="1"/>
    <n v="150"/>
    <n v="150"/>
    <d v="2026-04-03T00:00:00"/>
    <x v="0"/>
    <s v="✅ Paid in Full "/>
    <s v="Anna"/>
    <s v="Cash"/>
    <m/>
  </r>
  <r>
    <s v="Alena"/>
    <x v="9"/>
    <n v="1"/>
    <n v="100"/>
    <n v="100"/>
    <d v="2026-04-03T00:00:00"/>
    <x v="0"/>
    <s v="✅ Paid in Full "/>
    <s v="Anna"/>
    <s v="Cash"/>
    <m/>
  </r>
  <r>
    <s v="Aletta"/>
    <x v="10"/>
    <n v="7"/>
    <n v="25"/>
    <n v="175"/>
    <d v="2026-04-04T00:00:00"/>
    <x v="0"/>
    <s v="✅ Paid in Full "/>
    <s v="Anna"/>
    <s v="Cash"/>
    <m/>
  </r>
  <r>
    <s v="Aletta"/>
    <x v="7"/>
    <n v="7"/>
    <n v="25"/>
    <n v="175"/>
    <d v="2026-04-04T00:00:00"/>
    <x v="0"/>
    <s v="✅ Paid in Full "/>
    <s v="Anna"/>
    <s v="Cash"/>
    <m/>
  </r>
  <r>
    <s v="Aletta"/>
    <x v="11"/>
    <n v="14"/>
    <n v="25"/>
    <n v="350"/>
    <d v="2026-04-04T00:00:00"/>
    <x v="0"/>
    <s v="✅ Paid in Full "/>
    <s v="Anna"/>
    <s v="Cash"/>
    <m/>
  </r>
  <r>
    <s v="Alfiya Shaikh"/>
    <x v="7"/>
    <n v="1"/>
    <n v="25"/>
    <n v="25"/>
    <d v="2026-04-04T00:00:00"/>
    <x v="0"/>
    <s v="✅ Paid in Full "/>
    <s v="Anna"/>
    <s v="UPI Anna"/>
    <m/>
  </r>
  <r>
    <s v="Alfiya Shaikh"/>
    <x v="12"/>
    <n v="1"/>
    <n v="30"/>
    <n v="30"/>
    <d v="2026-04-04T00:00:00"/>
    <x v="0"/>
    <s v="✅ Paid in Full "/>
    <s v="Anna"/>
    <s v="UPI Anna"/>
    <m/>
  </r>
  <r>
    <s v="Alfiya Shaikh"/>
    <x v="11"/>
    <n v="1"/>
    <n v="25"/>
    <n v="25"/>
    <d v="2026-04-04T00:00:00"/>
    <x v="0"/>
    <s v="✅ Paid in Full "/>
    <s v="Anna"/>
    <s v="UPI Anna"/>
    <m/>
  </r>
  <r>
    <s v="Alfiya Shaikh"/>
    <x v="13"/>
    <n v="1"/>
    <n v="25"/>
    <n v="25"/>
    <d v="2026-04-04T00:00:00"/>
    <x v="0"/>
    <s v="✅ Paid in Full "/>
    <s v="Anna"/>
    <s v="UPI Anna"/>
    <m/>
  </r>
  <r>
    <s v="Allwyans "/>
    <x v="8"/>
    <n v="6"/>
    <n v="150"/>
    <n v="900"/>
    <d v="2026-04-04T00:00:00"/>
    <x v="0"/>
    <s v="✅ Paid in Full "/>
    <s v="Sarah"/>
    <s v="UPI Sarah"/>
    <m/>
  </r>
  <r>
    <s v="Allwyans "/>
    <x v="14"/>
    <n v="3"/>
    <n v="20"/>
    <n v="60"/>
    <d v="2026-04-04T00:00:00"/>
    <x v="0"/>
    <s v="✅ Paid in Full "/>
    <s v="Sarah"/>
    <s v="UPI Sarah"/>
    <m/>
  </r>
  <r>
    <s v="Amrita's"/>
    <x v="8"/>
    <n v="1"/>
    <n v="150"/>
    <n v="150"/>
    <d v="2026-04-04T00:00:00"/>
    <x v="0"/>
    <s v="✅ Paid in Full "/>
    <s v="Sarah"/>
    <s v="UPI Sarah"/>
    <m/>
  </r>
  <r>
    <s v="Anaya"/>
    <x v="13"/>
    <n v="5"/>
    <n v="25"/>
    <n v="125"/>
    <d v="2026-03-31T00:00:00"/>
    <x v="0"/>
    <s v="✅ Paid in Full "/>
    <s v="Sarah"/>
    <s v="Cash"/>
    <m/>
  </r>
  <r>
    <s v="Anaya"/>
    <x v="15"/>
    <n v="7"/>
    <n v="20"/>
    <n v="140"/>
    <d v="2026-03-31T00:00:00"/>
    <x v="0"/>
    <s v="✅ Paid in Full "/>
    <s v="Sarah"/>
    <s v="Cash"/>
    <m/>
  </r>
  <r>
    <s v="Anaya"/>
    <x v="14"/>
    <n v="6"/>
    <n v="20"/>
    <n v="120"/>
    <d v="2026-03-31T00:00:00"/>
    <x v="0"/>
    <s v="✅ Paid in Full "/>
    <s v="Sarah"/>
    <s v="Cash"/>
    <m/>
  </r>
  <r>
    <s v="Anaya"/>
    <x v="16"/>
    <n v="6"/>
    <n v="20"/>
    <n v="120"/>
    <d v="2026-03-31T00:00:00"/>
    <x v="0"/>
    <s v="✅ Paid in Full "/>
    <s v="Sarah"/>
    <s v="Cash"/>
    <m/>
  </r>
  <r>
    <s v="Andrea's Mom"/>
    <x v="6"/>
    <n v="4"/>
    <n v="55"/>
    <n v="220"/>
    <d v="2026-03-31T00:00:00"/>
    <x v="0"/>
    <s v="✅ Paid in Full "/>
    <s v="Sarah"/>
    <s v="Cash"/>
    <m/>
  </r>
  <r>
    <s v="Andrea's Mom"/>
    <x v="13"/>
    <n v="38"/>
    <n v="25"/>
    <n v="950"/>
    <d v="2026-03-31T00:00:00"/>
    <x v="0"/>
    <s v="✅ Paid in Full "/>
    <s v="Sarah"/>
    <s v="Cash"/>
    <m/>
  </r>
  <r>
    <s v="Andrea's Mom"/>
    <x v="2"/>
    <n v="22"/>
    <n v="55"/>
    <n v="1210"/>
    <d v="2026-03-31T00:00:00"/>
    <x v="0"/>
    <s v="✅ Paid in Full "/>
    <s v="Sarah"/>
    <s v="Cash"/>
    <m/>
  </r>
  <r>
    <s v="Arwa"/>
    <x v="17"/>
    <n v="1"/>
    <n v="130"/>
    <n v="130"/>
    <d v="2026-04-03T00:00:00"/>
    <x v="0"/>
    <s v="✅ Paid in Full "/>
    <s v="Anna"/>
    <s v="UPI Anna"/>
    <m/>
  </r>
  <r>
    <s v="Arwa"/>
    <x v="18"/>
    <n v="1"/>
    <n v="110"/>
    <n v="110"/>
    <d v="2026-04-03T00:00:00"/>
    <x v="0"/>
    <s v="✅ Paid in Full "/>
    <s v="Anna"/>
    <s v="UPI Anna"/>
    <m/>
  </r>
  <r>
    <s v="Arwa"/>
    <x v="19"/>
    <n v="1"/>
    <n v="40"/>
    <n v="40"/>
    <d v="2026-04-03T00:00:00"/>
    <x v="0"/>
    <s v="✅ Paid in Full "/>
    <s v="Anna"/>
    <s v="UPI Anna"/>
    <m/>
  </r>
  <r>
    <s v="Arwa"/>
    <x v="20"/>
    <n v="1"/>
    <n v="130"/>
    <n v="130"/>
    <d v="2026-04-03T00:00:00"/>
    <x v="0"/>
    <s v="✅ Paid in Full "/>
    <s v="Anna"/>
    <s v="UPI Anna"/>
    <m/>
  </r>
  <r>
    <s v="Arwa"/>
    <x v="8"/>
    <n v="1"/>
    <n v="150"/>
    <n v="150"/>
    <d v="2026-04-03T00:00:00"/>
    <x v="0"/>
    <s v="✅ Paid in Full "/>
    <s v="Anna"/>
    <s v="UPI Anna"/>
    <m/>
  </r>
  <r>
    <s v="Arwa"/>
    <x v="21"/>
    <n v="1"/>
    <n v="130"/>
    <n v="130"/>
    <d v="2026-04-03T00:00:00"/>
    <x v="0"/>
    <s v="✅ Paid in Full "/>
    <s v="Anna"/>
    <s v="UPI Anna"/>
    <m/>
  </r>
  <r>
    <s v="Arwa"/>
    <x v="9"/>
    <n v="1"/>
    <n v="100"/>
    <n v="100"/>
    <d v="2026-04-03T00:00:00"/>
    <x v="0"/>
    <s v="✅ Paid in Full "/>
    <s v="Anna"/>
    <s v="UPI Anna"/>
    <m/>
  </r>
  <r>
    <s v="Arwa"/>
    <x v="22"/>
    <n v="1"/>
    <n v="130"/>
    <n v="130"/>
    <d v="2026-04-03T00:00:00"/>
    <x v="0"/>
    <s v="✅ Paid in Full "/>
    <s v="Anna"/>
    <s v="UPI Anna"/>
    <m/>
  </r>
  <r>
    <s v="Audrey"/>
    <x v="12"/>
    <n v="4"/>
    <n v="30"/>
    <n v="120"/>
    <d v="2026-04-04T00:00:00"/>
    <x v="0"/>
    <s v="✅ Paid in Full "/>
    <s v="Sarah"/>
    <s v="UPI Sarah"/>
    <m/>
  </r>
  <r>
    <s v="Audrey"/>
    <x v="8"/>
    <n v="1"/>
    <n v="150"/>
    <n v="150"/>
    <d v="2026-04-04T00:00:00"/>
    <x v="0"/>
    <s v="✅ Paid in Full "/>
    <s v="Sarah"/>
    <s v="UPI Sarah"/>
    <m/>
  </r>
  <r>
    <s v="Audrey"/>
    <x v="23"/>
    <n v="4"/>
    <n v="25"/>
    <n v="100"/>
    <d v="2026-04-04T00:00:00"/>
    <x v="0"/>
    <s v="✅ Paid in Full "/>
    <s v="Sarah"/>
    <s v="UPI Sarah"/>
    <m/>
  </r>
  <r>
    <s v="Blanka"/>
    <x v="5"/>
    <n v="2"/>
    <n v="60"/>
    <n v="120"/>
    <d v="2026-04-04T00:00:00"/>
    <x v="0"/>
    <s v="✅ Paid in Full "/>
    <s v="Sarah"/>
    <s v="UPI Sarah"/>
    <m/>
  </r>
  <r>
    <s v="Blanka"/>
    <x v="3"/>
    <n v="1"/>
    <n v="65"/>
    <n v="65"/>
    <d v="2026-04-04T00:00:00"/>
    <x v="0"/>
    <s v="✅ Paid in Full "/>
    <s v="Anna"/>
    <s v="UPI Anna"/>
    <m/>
  </r>
  <r>
    <s v="Blanka"/>
    <x v="24"/>
    <n v="1"/>
    <n v="110"/>
    <n v="110"/>
    <d v="2026-04-04T00:00:00"/>
    <x v="0"/>
    <s v="✅ Paid in Full "/>
    <s v="Sarah"/>
    <s v="UPI Sarah"/>
    <m/>
  </r>
  <r>
    <s v="Blanka"/>
    <x v="18"/>
    <n v="1"/>
    <n v="110"/>
    <n v="110"/>
    <d v="2026-04-04T00:00:00"/>
    <x v="0"/>
    <s v="✅ Paid in Full "/>
    <s v="Anna"/>
    <s v="UPI Anna"/>
    <m/>
  </r>
  <r>
    <s v="Blanka"/>
    <x v="25"/>
    <n v="2"/>
    <n v="110"/>
    <n v="220"/>
    <d v="2026-04-04T00:00:00"/>
    <x v="0"/>
    <s v="✅ Paid in Full "/>
    <s v="Sarah"/>
    <s v="UPI Sarah"/>
    <m/>
  </r>
  <r>
    <s v="Blanka"/>
    <x v="6"/>
    <n v="4"/>
    <n v="55"/>
    <n v="220"/>
    <d v="2026-04-04T00:00:00"/>
    <x v="0"/>
    <s v="✅ Paid in Full "/>
    <s v="Anna"/>
    <s v="UPI Anna"/>
    <m/>
  </r>
  <r>
    <s v="Blanka"/>
    <x v="2"/>
    <n v="1"/>
    <n v="55"/>
    <n v="55"/>
    <d v="2026-04-04T00:00:00"/>
    <x v="0"/>
    <s v="✅ Paid in Full "/>
    <s v="Anna"/>
    <s v="UPI Anna"/>
    <m/>
  </r>
  <r>
    <s v="Blossom Pereira"/>
    <x v="17"/>
    <n v="1"/>
    <n v="130"/>
    <n v="130"/>
    <d v="2026-04-03T00:00:00"/>
    <x v="0"/>
    <s v="✅ Paid in Full "/>
    <s v="Anna"/>
    <s v="UPI Anna"/>
    <m/>
  </r>
  <r>
    <s v="Blossom Pereira"/>
    <x v="8"/>
    <n v="4"/>
    <n v="150"/>
    <n v="600"/>
    <d v="2026-04-03T00:00:00"/>
    <x v="0"/>
    <s v="✅ Paid in Full "/>
    <s v="Anna"/>
    <s v="UPI Anna"/>
    <m/>
  </r>
  <r>
    <s v="Blossom Pereira"/>
    <x v="6"/>
    <n v="2"/>
    <n v="55"/>
    <n v="110"/>
    <d v="2026-04-03T00:00:00"/>
    <x v="0"/>
    <s v="✅ Paid in Full "/>
    <s v="Anna"/>
    <s v="UPI Anna"/>
    <m/>
  </r>
  <r>
    <s v="Brendan"/>
    <x v="5"/>
    <n v="2"/>
    <n v="60"/>
    <n v="120"/>
    <d v="2026-04-03T00:00:00"/>
    <x v="0"/>
    <s v="✅ Paid in Full "/>
    <s v="Sarah"/>
    <s v="UPI Sarah"/>
    <m/>
  </r>
  <r>
    <s v="Brendan"/>
    <x v="3"/>
    <n v="2"/>
    <n v="65"/>
    <n v="130"/>
    <d v="2026-04-03T00:00:00"/>
    <x v="0"/>
    <s v="✅ Paid in Full "/>
    <s v="Sarah"/>
    <s v="UPI Sarah"/>
    <m/>
  </r>
  <r>
    <s v="Brendan"/>
    <x v="4"/>
    <n v="2"/>
    <n v="60"/>
    <n v="120"/>
    <d v="2026-04-03T00:00:00"/>
    <x v="0"/>
    <s v="✅ Paid in Full "/>
    <s v="Sarah"/>
    <s v="UPI Sarah"/>
    <m/>
  </r>
  <r>
    <s v="Carol"/>
    <x v="26"/>
    <n v="1"/>
    <n v="130"/>
    <n v="130"/>
    <d v="2026-03-27T00:00:00"/>
    <x v="0"/>
    <s v="✅ Paid in Full "/>
    <s v="Sarah"/>
    <s v="UPI Sarah"/>
    <m/>
  </r>
  <r>
    <s v="Carol"/>
    <x v="24"/>
    <n v="1"/>
    <n v="110"/>
    <n v="110"/>
    <d v="2026-03-27T00:00:00"/>
    <x v="0"/>
    <s v="✅ Paid in Full "/>
    <s v="Sarah"/>
    <s v="UPI Sarah"/>
    <m/>
  </r>
  <r>
    <s v="Carol"/>
    <x v="8"/>
    <n v="1"/>
    <n v="150"/>
    <n v="150"/>
    <d v="2026-03-27T00:00:00"/>
    <x v="0"/>
    <s v="✅ Paid in Full "/>
    <s v="Sarah"/>
    <s v="UPI Sarah"/>
    <m/>
  </r>
  <r>
    <s v="Carol"/>
    <x v="21"/>
    <n v="1"/>
    <n v="130"/>
    <n v="130"/>
    <d v="2026-03-27T00:00:00"/>
    <x v="0"/>
    <s v="✅ Paid in Full "/>
    <s v="Sarah"/>
    <s v="UPI Sarah"/>
    <m/>
  </r>
  <r>
    <s v="Carol"/>
    <x v="22"/>
    <n v="1"/>
    <n v="130"/>
    <n v="130"/>
    <d v="2026-03-27T00:00:00"/>
    <x v="0"/>
    <s v="✅ Paid in Full "/>
    <s v="Sarah"/>
    <s v="UPI Sarah"/>
    <m/>
  </r>
  <r>
    <s v="Carol"/>
    <x v="0"/>
    <n v="5"/>
    <n v="60"/>
    <n v="300"/>
    <d v="2026-04-02T00:00:00"/>
    <x v="0"/>
    <s v="✅ Paid in Full "/>
    <s v="Sarah"/>
    <s v="UPI Sarah"/>
    <m/>
  </r>
  <r>
    <s v="Cecilia D'Souza"/>
    <x v="19"/>
    <n v="5"/>
    <n v="40"/>
    <n v="200"/>
    <d v="2026-04-04T00:00:00"/>
    <x v="0"/>
    <s v="✅ Paid in Full "/>
    <s v="Anna"/>
    <s v="UPI Anna"/>
    <m/>
  </r>
  <r>
    <s v="Cecilia D'Souza"/>
    <x v="1"/>
    <n v="5"/>
    <n v="40"/>
    <n v="200"/>
    <d v="2026-04-04T00:00:00"/>
    <x v="0"/>
    <s v="✅ Paid in Full "/>
    <s v="Anna"/>
    <s v="UPI Anna"/>
    <m/>
  </r>
  <r>
    <s v="Cecilia D'Souza"/>
    <x v="9"/>
    <n v="10"/>
    <n v="100"/>
    <n v="1000"/>
    <d v="2026-04-04T00:00:00"/>
    <x v="0"/>
    <s v="✅ Paid in Full "/>
    <s v="Anna"/>
    <s v="UPI Anna"/>
    <m/>
  </r>
  <r>
    <s v="Christopher Uncle"/>
    <x v="8"/>
    <n v="2"/>
    <n v="150"/>
    <n v="300"/>
    <d v="2026-04-04T00:00:00"/>
    <x v="0"/>
    <s v="✅ Paid in Full "/>
    <s v="Anna"/>
    <s v="UPI Anna"/>
    <m/>
  </r>
  <r>
    <s v="Christopher Uncle"/>
    <x v="9"/>
    <n v="4"/>
    <n v="100"/>
    <n v="400"/>
    <d v="2026-04-04T00:00:00"/>
    <x v="0"/>
    <s v="✅ Paid in Full "/>
    <s v="Anna"/>
    <s v="UPI Anna"/>
    <m/>
  </r>
  <r>
    <s v="Claudie"/>
    <x v="2"/>
    <n v="8"/>
    <n v="55"/>
    <n v="440"/>
    <d v="2026-04-06T00:00:00"/>
    <x v="0"/>
    <s v="✅ Paid in Full "/>
    <s v="Sarah"/>
    <s v="UPI Sarah"/>
    <m/>
  </r>
  <r>
    <s v="Crystal "/>
    <x v="0"/>
    <n v="2"/>
    <n v="60"/>
    <n v="120"/>
    <d v="2026-04-02T00:00:00"/>
    <x v="0"/>
    <s v="✅ Paid in Full "/>
    <s v="Sarah"/>
    <s v="UPI Sarah"/>
    <s v="add 15"/>
  </r>
  <r>
    <s v="Crystal "/>
    <x v="10"/>
    <n v="10"/>
    <n v="25"/>
    <n v="250"/>
    <d v="2026-04-02T00:00:00"/>
    <x v="0"/>
    <s v="✅ Paid in Full "/>
    <s v="Sarah"/>
    <s v="UPI Sarah"/>
    <m/>
  </r>
  <r>
    <s v="Crystal "/>
    <x v="18"/>
    <n v="5"/>
    <n v="110"/>
    <n v="550"/>
    <d v="2026-04-02T00:00:00"/>
    <x v="0"/>
    <s v="✅ Paid in Full "/>
    <s v="Sarah"/>
    <s v="UPI Sarah"/>
    <m/>
  </r>
  <r>
    <s v="Crystal "/>
    <x v="4"/>
    <n v="9"/>
    <n v="60"/>
    <n v="540"/>
    <d v="2026-04-02T00:00:00"/>
    <x v="0"/>
    <s v="✅ Paid in Full "/>
    <s v="Sarah"/>
    <s v="UPI Sarah"/>
    <m/>
  </r>
  <r>
    <s v="Crystal "/>
    <x v="11"/>
    <n v="5"/>
    <n v="25"/>
    <n v="125"/>
    <d v="2026-04-02T00:00:00"/>
    <x v="0"/>
    <s v="✅ Paid in Full "/>
    <s v="Sarah"/>
    <s v="UPI Sarah"/>
    <m/>
  </r>
  <r>
    <s v="Crystal "/>
    <x v="8"/>
    <n v="2"/>
    <n v="150"/>
    <n v="300"/>
    <d v="2026-04-02T00:00:00"/>
    <x v="0"/>
    <s v="✅ Paid in Full "/>
    <s v="Sarah"/>
    <s v="UPI Sarah"/>
    <m/>
  </r>
  <r>
    <s v="Crystal "/>
    <x v="21"/>
    <n v="1"/>
    <n v="130"/>
    <n v="130"/>
    <d v="2026-04-02T00:00:00"/>
    <x v="0"/>
    <s v="✅ Paid in Full "/>
    <s v="Sarah"/>
    <s v="UPI Sarah"/>
    <m/>
  </r>
  <r>
    <s v="Crystal "/>
    <x v="15"/>
    <n v="2"/>
    <n v="20"/>
    <n v="40"/>
    <d v="2026-04-02T00:00:00"/>
    <x v="0"/>
    <s v="✅ Paid in Full "/>
    <s v="Sarah"/>
    <s v="UPI Sarah"/>
    <m/>
  </r>
  <r>
    <s v="Crystal "/>
    <x v="27"/>
    <n v="5"/>
    <n v="50"/>
    <n v="250"/>
    <d v="2026-04-02T00:00:00"/>
    <x v="0"/>
    <s v="✅ Paid in Full "/>
    <s v="Sarah"/>
    <s v="UPI Sarah"/>
    <m/>
  </r>
  <r>
    <s v="Crystal "/>
    <x v="27"/>
    <n v="6"/>
    <n v="50"/>
    <n v="300"/>
    <d v="2026-04-02T00:00:00"/>
    <x v="0"/>
    <s v="✅ Paid in Full "/>
    <s v="Sarah"/>
    <s v="UPI Sarah"/>
    <m/>
  </r>
  <r>
    <s v="Crystal "/>
    <x v="2"/>
    <n v="2"/>
    <n v="55"/>
    <n v="110"/>
    <d v="2026-04-02T00:00:00"/>
    <x v="0"/>
    <s v="✅ Paid in Full "/>
    <s v="Sarah"/>
    <s v="UPI Sarah"/>
    <m/>
  </r>
  <r>
    <s v="Debby"/>
    <x v="10"/>
    <n v="35"/>
    <n v="25"/>
    <n v="875"/>
    <d v="2026-04-05T00:00:00"/>
    <x v="0"/>
    <s v="✅ Paid in Full "/>
    <s v="Sarah"/>
    <s v="UPI Sarah"/>
    <m/>
  </r>
  <r>
    <s v="Debby"/>
    <x v="7"/>
    <n v="10"/>
    <n v="25"/>
    <n v="250"/>
    <d v="2026-04-05T00:00:00"/>
    <x v="0"/>
    <s v="✅ Paid in Full "/>
    <s v="Sarah"/>
    <s v="UPI Sarah"/>
    <m/>
  </r>
  <r>
    <s v="Denise"/>
    <x v="0"/>
    <n v="22"/>
    <n v="60"/>
    <n v="1320"/>
    <d v="2026-04-04T00:00:00"/>
    <x v="0"/>
    <s v="✅ Paid in Full "/>
    <s v="Anna"/>
    <s v="UPI Anna"/>
    <m/>
  </r>
  <r>
    <s v="Denise"/>
    <x v="6"/>
    <n v="2"/>
    <n v="55"/>
    <n v="110"/>
    <d v="2026-04-04T00:00:00"/>
    <x v="0"/>
    <s v="✅ Paid in Full "/>
    <s v="Anna"/>
    <s v="UPI Anna"/>
    <m/>
  </r>
  <r>
    <s v="Denise"/>
    <x v="8"/>
    <n v="6"/>
    <n v="150"/>
    <n v="900"/>
    <d v="2026-04-04T00:00:00"/>
    <x v="0"/>
    <s v="✅ Paid in Full "/>
    <s v="Anna"/>
    <s v="UPI Anna"/>
    <m/>
  </r>
  <r>
    <s v="Desi"/>
    <x v="7"/>
    <n v="1"/>
    <n v="25"/>
    <n v="25"/>
    <d v="2026-03-31T00:00:00"/>
    <x v="0"/>
    <s v="✅ Paid in Full "/>
    <s v="Anna"/>
    <s v="Cash"/>
    <m/>
  </r>
  <r>
    <s v="Desi"/>
    <x v="12"/>
    <n v="1"/>
    <n v="30"/>
    <n v="30"/>
    <d v="2026-03-31T00:00:00"/>
    <x v="0"/>
    <s v="✅ Paid in Full "/>
    <s v="Anna"/>
    <s v="Cash"/>
    <n v="30"/>
  </r>
  <r>
    <s v="Desi"/>
    <x v="11"/>
    <n v="1"/>
    <n v="25"/>
    <n v="25"/>
    <d v="2026-03-31T00:00:00"/>
    <x v="0"/>
    <s v="✅ Paid in Full "/>
    <s v="Anna"/>
    <s v="Cash"/>
    <m/>
  </r>
  <r>
    <s v="Desi"/>
    <x v="13"/>
    <n v="1"/>
    <n v="25"/>
    <n v="25"/>
    <d v="2026-03-31T00:00:00"/>
    <x v="0"/>
    <s v="✅ Paid in Full "/>
    <s v="Anna"/>
    <s v="Cash"/>
    <m/>
  </r>
  <r>
    <s v="Desi"/>
    <x v="14"/>
    <n v="1"/>
    <n v="20"/>
    <n v="20"/>
    <d v="2026-03-31T00:00:00"/>
    <x v="0"/>
    <s v="✅ Paid in Full "/>
    <s v="Anna"/>
    <s v="Cash"/>
    <m/>
  </r>
  <r>
    <s v="Desi"/>
    <x v="23"/>
    <n v="1"/>
    <n v="25"/>
    <n v="25"/>
    <d v="2026-03-31T00:00:00"/>
    <x v="0"/>
    <s v="✅ Paid in Full "/>
    <s v="Anna"/>
    <s v="Cash"/>
    <m/>
  </r>
  <r>
    <s v="Desi"/>
    <x v="6"/>
    <n v="6"/>
    <n v="55"/>
    <n v="330"/>
    <d v="2026-04-04T00:00:00"/>
    <x v="0"/>
    <s v="✅ Paid in Full "/>
    <s v="Anna"/>
    <s v="Cash"/>
    <m/>
  </r>
  <r>
    <s v="Desi"/>
    <x v="9"/>
    <n v="12"/>
    <n v="100"/>
    <n v="1200"/>
    <d v="2026-04-04T00:00:00"/>
    <x v="0"/>
    <s v="✅ Paid in Full "/>
    <s v="Anna"/>
    <s v="Cash"/>
    <m/>
  </r>
  <r>
    <s v="Desi"/>
    <x v="22"/>
    <n v="3"/>
    <n v="130"/>
    <n v="390"/>
    <d v="2026-04-04T00:00:00"/>
    <x v="0"/>
    <s v="✅ Paid in Full "/>
    <s v="Anna"/>
    <s v="Cash"/>
    <m/>
  </r>
  <r>
    <s v="Donna mom"/>
    <x v="1"/>
    <n v="5"/>
    <n v="40"/>
    <n v="200"/>
    <d v="2026-04-05T00:00:00"/>
    <x v="0"/>
    <s v="✅ Paid in Full "/>
    <s v="Anna"/>
    <s v="UPI Anna"/>
    <m/>
  </r>
  <r>
    <s v="Dorothy"/>
    <x v="12"/>
    <n v="1"/>
    <n v="30"/>
    <n v="30"/>
    <d v="2026-04-02T00:00:00"/>
    <x v="0"/>
    <s v="✅ Paid in Full "/>
    <s v="Anna"/>
    <s v="Cash"/>
    <m/>
  </r>
  <r>
    <s v="Dorothy"/>
    <x v="8"/>
    <n v="1"/>
    <n v="150"/>
    <n v="150"/>
    <d v="2026-04-02T00:00:00"/>
    <x v="0"/>
    <s v="✅ Paid in Full "/>
    <s v="Anna"/>
    <s v="Cash"/>
    <m/>
  </r>
  <r>
    <s v="Dorothy"/>
    <x v="13"/>
    <n v="1"/>
    <n v="25"/>
    <n v="25"/>
    <d v="2026-04-02T00:00:00"/>
    <x v="0"/>
    <s v="✅ Paid in Full "/>
    <s v="Anna"/>
    <s v="Cash"/>
    <m/>
  </r>
  <r>
    <s v="Dorothy"/>
    <x v="14"/>
    <n v="1"/>
    <n v="20"/>
    <n v="20"/>
    <d v="2026-04-02T00:00:00"/>
    <x v="0"/>
    <s v="✅ Paid in Full "/>
    <s v="Anna"/>
    <s v="Cash"/>
    <m/>
  </r>
  <r>
    <s v="Dorothy"/>
    <x v="23"/>
    <n v="1"/>
    <n v="25"/>
    <n v="25"/>
    <d v="2026-04-02T00:00:00"/>
    <x v="0"/>
    <s v="✅ Paid in Full "/>
    <s v="Anna"/>
    <s v="Cash"/>
    <m/>
  </r>
  <r>
    <s v="Dr. Aimen"/>
    <x v="10"/>
    <n v="3"/>
    <n v="25"/>
    <n v="75"/>
    <d v="2026-04-04T00:00:00"/>
    <x v="0"/>
    <s v="✅ Paid in Full "/>
    <s v="Anna"/>
    <s v="UPI Anna"/>
    <m/>
  </r>
  <r>
    <s v="Dr. Aimen"/>
    <x v="12"/>
    <n v="1"/>
    <n v="30"/>
    <n v="30"/>
    <d v="2026-04-04T00:00:00"/>
    <x v="0"/>
    <s v="✅ Paid in Full "/>
    <s v="Anna"/>
    <s v="UPI Anna"/>
    <m/>
  </r>
  <r>
    <s v="Dr. Aimen"/>
    <x v="13"/>
    <n v="3"/>
    <n v="25"/>
    <n v="75"/>
    <d v="2026-04-04T00:00:00"/>
    <x v="0"/>
    <s v="✅ Paid in Full "/>
    <s v="Anna"/>
    <s v="UPI Anna"/>
    <m/>
  </r>
  <r>
    <s v="Dr. Arundhati "/>
    <x v="12"/>
    <n v="1"/>
    <n v="30"/>
    <n v="30"/>
    <d v="2026-04-12T00:00:00"/>
    <x v="1"/>
    <s v="❌ No payment Made "/>
    <s v="Anna"/>
    <m/>
    <m/>
  </r>
  <r>
    <s v="Dr. Arundhati "/>
    <x v="7"/>
    <n v="1"/>
    <n v="25"/>
    <n v="25"/>
    <d v="2026-04-12T00:00:00"/>
    <x v="1"/>
    <s v="❌ No payment Made "/>
    <s v="Anna"/>
    <m/>
    <m/>
  </r>
  <r>
    <s v="Dr. Arundhati "/>
    <x v="11"/>
    <n v="1"/>
    <n v="25"/>
    <n v="25"/>
    <d v="2026-04-12T00:00:00"/>
    <x v="1"/>
    <s v="❌ No payment Made "/>
    <s v="Anna"/>
    <m/>
    <m/>
  </r>
  <r>
    <s v="Dr. Arundhati "/>
    <x v="13"/>
    <n v="1"/>
    <n v="25"/>
    <n v="25"/>
    <d v="2026-04-12T00:00:00"/>
    <x v="1"/>
    <s v="❌ No payment Made "/>
    <s v="Anna"/>
    <m/>
    <m/>
  </r>
  <r>
    <s v="Dr. Arundhati "/>
    <x v="23"/>
    <n v="1"/>
    <n v="25"/>
    <n v="25"/>
    <d v="2026-04-12T00:00:00"/>
    <x v="1"/>
    <s v="❌ No payment Made "/>
    <s v="Anna"/>
    <m/>
    <m/>
  </r>
  <r>
    <s v="Dr. Bhakti"/>
    <x v="13"/>
    <n v="1"/>
    <n v="25"/>
    <n v="25"/>
    <d v="2026-04-12T00:00:00"/>
    <x v="1"/>
    <s v="❌ No payment Made "/>
    <s v="Anna"/>
    <m/>
    <m/>
  </r>
  <r>
    <s v="Dr. Bhakti"/>
    <x v="7"/>
    <n v="1"/>
    <n v="25"/>
    <n v="25"/>
    <d v="2026-04-12T00:00:00"/>
    <x v="1"/>
    <s v="❌ No payment Made "/>
    <s v="Anna"/>
    <m/>
    <m/>
  </r>
  <r>
    <s v="Dr. Bhakti"/>
    <x v="23"/>
    <n v="1"/>
    <n v="25"/>
    <n v="25"/>
    <d v="2026-04-12T00:00:00"/>
    <x v="1"/>
    <s v="❌ No payment Made "/>
    <s v="Anna"/>
    <m/>
    <m/>
  </r>
  <r>
    <s v="Driver Uncle"/>
    <x v="8"/>
    <n v="1"/>
    <n v="150"/>
    <n v="150"/>
    <d v="2026-04-04T00:00:00"/>
    <x v="0"/>
    <s v="✅ Paid in Full "/>
    <s v="Anna"/>
    <s v="Cash"/>
    <m/>
  </r>
  <r>
    <s v="Elaine"/>
    <x v="5"/>
    <n v="1"/>
    <n v="60"/>
    <n v="60"/>
    <d v="2026-04-03T00:00:00"/>
    <x v="0"/>
    <s v="✅ Paid in Full "/>
    <s v="Sarah"/>
    <s v="UPI Sarah"/>
    <s v="add 10"/>
  </r>
  <r>
    <s v="Elaine"/>
    <x v="3"/>
    <n v="1"/>
    <n v="65"/>
    <n v="65"/>
    <d v="2026-04-03T00:00:00"/>
    <x v="0"/>
    <s v="✅ Paid in Full "/>
    <s v="Sarah"/>
    <s v="UPI Sarah"/>
    <m/>
  </r>
  <r>
    <s v="Elaine"/>
    <x v="4"/>
    <n v="1"/>
    <n v="60"/>
    <n v="60"/>
    <d v="2026-04-03T00:00:00"/>
    <x v="0"/>
    <s v="✅ Paid in Full "/>
    <s v="Sarah"/>
    <s v="UPI Sarah"/>
    <m/>
  </r>
  <r>
    <s v="Elaine"/>
    <x v="6"/>
    <n v="1"/>
    <n v="55"/>
    <n v="55"/>
    <d v="2026-04-03T00:00:00"/>
    <x v="0"/>
    <s v="✅ Paid in Full "/>
    <s v="Sarah"/>
    <s v="UPI Sarah"/>
    <m/>
  </r>
  <r>
    <s v="Elaine"/>
    <x v="22"/>
    <n v="4"/>
    <n v="130"/>
    <n v="520"/>
    <d v="2026-04-03T00:00:00"/>
    <x v="0"/>
    <s v="✅ Paid in Full "/>
    <s v="Sarah"/>
    <s v="UPI Sarah"/>
    <m/>
  </r>
  <r>
    <s v="Elaine Pinto"/>
    <x v="9"/>
    <n v="8"/>
    <n v="100"/>
    <n v="800"/>
    <d v="2026-04-02T00:00:00"/>
    <x v="0"/>
    <s v="✅ Paid in Full "/>
    <s v="Sarah"/>
    <s v="UPI Sarah"/>
    <m/>
  </r>
  <r>
    <s v="Elvena"/>
    <x v="3"/>
    <n v="1"/>
    <n v="65"/>
    <n v="65"/>
    <d v="2026-04-02T00:00:00"/>
    <x v="0"/>
    <s v="✅ Paid in Full "/>
    <s v="Anna"/>
    <s v="UPI Anna"/>
    <m/>
  </r>
  <r>
    <s v="Elvena"/>
    <x v="4"/>
    <n v="1"/>
    <n v="60"/>
    <n v="60"/>
    <d v="2026-04-02T00:00:00"/>
    <x v="0"/>
    <s v="✅ Paid in Full "/>
    <s v="Anna"/>
    <s v="UPI Anna"/>
    <m/>
  </r>
  <r>
    <s v="Elvena"/>
    <x v="15"/>
    <n v="25"/>
    <n v="20"/>
    <n v="500"/>
    <d v="2026-04-02T00:00:00"/>
    <x v="0"/>
    <s v="✅ Paid in Full "/>
    <s v="Anna"/>
    <s v="UPI Anna"/>
    <m/>
  </r>
  <r>
    <s v="Elvena"/>
    <x v="2"/>
    <n v="3"/>
    <n v="55"/>
    <n v="165"/>
    <d v="2026-04-04T00:00:00"/>
    <x v="0"/>
    <s v="✅ Paid in Full "/>
    <s v="Anna"/>
    <s v="UPI Anna"/>
    <m/>
  </r>
  <r>
    <s v="Elvena"/>
    <x v="6"/>
    <n v="2"/>
    <n v="55"/>
    <n v="110"/>
    <d v="2026-04-04T00:00:00"/>
    <x v="0"/>
    <s v="✅ Paid in Full "/>
    <s v="Anna"/>
    <s v="UPI Anna"/>
    <m/>
  </r>
  <r>
    <s v="Elvena"/>
    <x v="4"/>
    <n v="2"/>
    <n v="60"/>
    <n v="120"/>
    <d v="2026-04-04T00:00:00"/>
    <x v="0"/>
    <s v="✅ Paid in Full "/>
    <s v="Anna"/>
    <s v="UPI Anna"/>
    <m/>
  </r>
  <r>
    <s v="Elvena"/>
    <x v="3"/>
    <n v="2"/>
    <n v="65"/>
    <n v="130"/>
    <d v="2026-04-04T00:00:00"/>
    <x v="0"/>
    <s v="✅ Paid in Full "/>
    <s v="Anna"/>
    <s v="UPI Anna"/>
    <m/>
  </r>
  <r>
    <s v="Elvira"/>
    <x v="27"/>
    <n v="25"/>
    <n v="50"/>
    <n v="1250"/>
    <d v="2026-04-12T00:00:00"/>
    <x v="0"/>
    <s v="✅ Paid in Full "/>
    <s v="Sarah"/>
    <s v="UPI Sarah"/>
    <m/>
  </r>
  <r>
    <s v="Elvira"/>
    <x v="28"/>
    <n v="25"/>
    <n v="50"/>
    <n v="1250"/>
    <d v="2026-04-12T00:00:00"/>
    <x v="0"/>
    <s v="✅ Paid in Full "/>
    <s v="Sarah"/>
    <s v="UPI Sarah"/>
    <m/>
  </r>
  <r>
    <s v="Elvira"/>
    <x v="29"/>
    <n v="10"/>
    <n v="50"/>
    <n v="500"/>
    <d v="2026-04-12T00:00:00"/>
    <x v="0"/>
    <s v="✅ Paid in Full "/>
    <s v="Sarah"/>
    <s v="UPI Sarah"/>
    <m/>
  </r>
  <r>
    <s v="Erica"/>
    <x v="17"/>
    <n v="1"/>
    <n v="130"/>
    <n v="130"/>
    <d v="2026-04-04T00:00:00"/>
    <x v="0"/>
    <s v="✅ Paid in Full "/>
    <s v="Anna"/>
    <s v="Cash"/>
    <m/>
  </r>
  <r>
    <s v="Erica"/>
    <x v="11"/>
    <n v="2"/>
    <n v="25"/>
    <n v="50"/>
    <d v="2026-04-04T00:00:00"/>
    <x v="0"/>
    <s v="✅ Paid in Full "/>
    <s v="Anna"/>
    <s v="Cash"/>
    <m/>
  </r>
  <r>
    <s v="Erica"/>
    <x v="23"/>
    <n v="2"/>
    <n v="25"/>
    <n v="50"/>
    <d v="2026-04-04T00:00:00"/>
    <x v="0"/>
    <s v="✅ Paid in Full "/>
    <s v="Anna"/>
    <s v="Cash"/>
    <m/>
  </r>
  <r>
    <s v="Feroz"/>
    <x v="26"/>
    <n v="2"/>
    <n v="130"/>
    <n v="260"/>
    <d v="2026-04-04T00:00:00"/>
    <x v="0"/>
    <s v="✅ Paid in Full "/>
    <s v="Anna"/>
    <s v="Cash"/>
    <m/>
  </r>
  <r>
    <s v="Feroz"/>
    <x v="20"/>
    <n v="2"/>
    <n v="130"/>
    <n v="260"/>
    <d v="2026-04-04T00:00:00"/>
    <x v="0"/>
    <s v="✅ Paid in Full "/>
    <s v="Anna"/>
    <s v="Cash"/>
    <m/>
  </r>
  <r>
    <s v="Feroz"/>
    <x v="8"/>
    <n v="2"/>
    <n v="150"/>
    <n v="300"/>
    <d v="2026-04-04T00:00:00"/>
    <x v="0"/>
    <s v="✅ Paid in Full "/>
    <s v="Anna"/>
    <s v="Cash"/>
    <m/>
  </r>
  <r>
    <s v="Feroz"/>
    <x v="21"/>
    <n v="2"/>
    <n v="130"/>
    <n v="260"/>
    <d v="2026-04-04T00:00:00"/>
    <x v="0"/>
    <s v="✅ Paid in Full "/>
    <s v="Anna"/>
    <s v="Cash"/>
    <m/>
  </r>
  <r>
    <s v="Feroz"/>
    <x v="22"/>
    <n v="1"/>
    <n v="130"/>
    <n v="130"/>
    <d v="2026-04-04T00:00:00"/>
    <x v="0"/>
    <s v="✅ Paid in Full "/>
    <s v="Anna"/>
    <s v="Cash"/>
    <m/>
  </r>
  <r>
    <s v="Flovin"/>
    <x v="14"/>
    <n v="5"/>
    <n v="20"/>
    <n v="100"/>
    <d v="2026-04-04T00:00:00"/>
    <x v="0"/>
    <s v="✅ Paid in Full "/>
    <s v="Sarah"/>
    <s v="UPI Sarah"/>
    <m/>
  </r>
  <r>
    <s v="Flovin"/>
    <x v="2"/>
    <n v="2"/>
    <n v="55"/>
    <n v="110"/>
    <d v="2026-04-04T00:00:00"/>
    <x v="0"/>
    <s v="✅ Paid in Full "/>
    <s v="Sarah"/>
    <s v="UPI Sarah"/>
    <m/>
  </r>
  <r>
    <s v="Flovin"/>
    <x v="23"/>
    <n v="5"/>
    <n v="25"/>
    <n v="125"/>
    <d v="2026-04-04T00:00:00"/>
    <x v="0"/>
    <s v="✅ Paid in Full "/>
    <s v="Sarah"/>
    <s v="UPI Sarah"/>
    <m/>
  </r>
  <r>
    <s v="Francisca "/>
    <x v="17"/>
    <n v="2"/>
    <n v="130"/>
    <n v="260"/>
    <d v="2026-04-04T00:00:00"/>
    <x v="0"/>
    <s v="✅ Paid in Full "/>
    <s v="Anna"/>
    <s v="UPI Anna"/>
    <m/>
  </r>
  <r>
    <s v="Gloria"/>
    <x v="24"/>
    <n v="1"/>
    <n v="110"/>
    <n v="110"/>
    <d v="2026-04-05T00:00:00"/>
    <x v="0"/>
    <s v="✅ Paid in Full "/>
    <s v="Anna"/>
    <s v="Cash"/>
    <m/>
  </r>
  <r>
    <s v="Greta"/>
    <x v="0"/>
    <n v="13"/>
    <n v="60"/>
    <n v="780"/>
    <d v="2026-04-04T00:00:00"/>
    <x v="0"/>
    <s v="✅ Paid in Full "/>
    <s v="Anna"/>
    <s v="UPI Anna"/>
    <m/>
  </r>
  <r>
    <s v="Greta"/>
    <x v="3"/>
    <n v="13"/>
    <n v="65"/>
    <n v="845"/>
    <d v="2026-04-04T00:00:00"/>
    <x v="0"/>
    <s v="✅ Paid in Full "/>
    <s v="Anna"/>
    <s v="UPI Anna"/>
    <m/>
  </r>
  <r>
    <s v="Greta"/>
    <x v="4"/>
    <n v="13"/>
    <n v="60"/>
    <n v="780"/>
    <d v="2026-04-04T00:00:00"/>
    <x v="0"/>
    <s v="✅ Paid in Full "/>
    <s v="Anna"/>
    <s v="UPI Anna"/>
    <m/>
  </r>
  <r>
    <s v="Greta"/>
    <x v="6"/>
    <n v="13"/>
    <n v="55"/>
    <n v="715"/>
    <d v="2026-04-04T00:00:00"/>
    <x v="0"/>
    <s v="✅ Paid in Full "/>
    <s v="Anna"/>
    <s v="UPI Anna"/>
    <m/>
  </r>
  <r>
    <s v="Greta"/>
    <x v="28"/>
    <n v="10"/>
    <n v="50"/>
    <n v="500"/>
    <d v="2026-04-04T00:00:00"/>
    <x v="0"/>
    <s v="✅ Paid in Full "/>
    <s v="Anna"/>
    <s v="UPI Anna"/>
    <m/>
  </r>
  <r>
    <s v="Greta"/>
    <x v="2"/>
    <n v="3"/>
    <n v="55"/>
    <n v="165"/>
    <d v="2026-04-04T00:00:00"/>
    <x v="0"/>
    <s v="✅ Paid in Full "/>
    <s v="Anna"/>
    <s v="UPI Anna"/>
    <m/>
  </r>
  <r>
    <s v="Harshada "/>
    <x v="19"/>
    <n v="4"/>
    <n v="40"/>
    <n v="160"/>
    <d v="2026-04-02T00:00:00"/>
    <x v="0"/>
    <s v="✅ Paid in Full "/>
    <s v="Sarah"/>
    <s v="UPI Sarah"/>
    <m/>
  </r>
  <r>
    <s v="Harshada "/>
    <x v="1"/>
    <n v="3"/>
    <n v="40"/>
    <n v="120"/>
    <d v="2026-04-02T00:00:00"/>
    <x v="0"/>
    <s v="✅ Paid in Full "/>
    <s v="Sarah"/>
    <s v="UPI Sarah"/>
    <m/>
  </r>
  <r>
    <s v="Harshada "/>
    <x v="8"/>
    <n v="8"/>
    <n v="150"/>
    <n v="1200"/>
    <d v="2026-04-02T00:00:00"/>
    <x v="0"/>
    <s v="✅ Paid in Full "/>
    <s v="Sarah"/>
    <s v="UPI Sarah"/>
    <m/>
  </r>
  <r>
    <s v="Hester "/>
    <x v="17"/>
    <n v="15"/>
    <n v="130"/>
    <n v="1950"/>
    <d v="2026-04-03T00:00:00"/>
    <x v="0"/>
    <s v="✅ Paid in Full "/>
    <s v="Anna"/>
    <s v="Cash"/>
    <m/>
  </r>
  <r>
    <s v="Hester "/>
    <x v="19"/>
    <n v="1"/>
    <n v="40"/>
    <n v="40"/>
    <d v="2026-04-03T00:00:00"/>
    <x v="0"/>
    <s v="✅ Paid in Full "/>
    <s v="Anna"/>
    <s v="Cash"/>
    <m/>
  </r>
  <r>
    <s v="Hester "/>
    <x v="1"/>
    <n v="1"/>
    <n v="40"/>
    <n v="40"/>
    <d v="2026-04-03T00:00:00"/>
    <x v="0"/>
    <s v="✅ Paid in Full "/>
    <s v="Anna"/>
    <s v="Cash"/>
    <m/>
  </r>
  <r>
    <s v="Hester "/>
    <x v="21"/>
    <n v="9"/>
    <n v="130"/>
    <n v="1170"/>
    <d v="2026-04-03T00:00:00"/>
    <x v="0"/>
    <s v="✅ Paid in Full "/>
    <s v="Anna"/>
    <s v="Cash"/>
    <m/>
  </r>
  <r>
    <s v="Hester "/>
    <x v="22"/>
    <n v="9"/>
    <n v="130"/>
    <n v="1170"/>
    <d v="2026-04-03T00:00:00"/>
    <x v="0"/>
    <s v="✅ Paid in Full "/>
    <s v="Anna"/>
    <s v="Cash"/>
    <m/>
  </r>
  <r>
    <s v="Ivan "/>
    <x v="8"/>
    <n v="1"/>
    <n v="150"/>
    <n v="150"/>
    <d v="2026-04-04T00:00:00"/>
    <x v="0"/>
    <s v="✅ Paid in Full "/>
    <s v="Anna"/>
    <s v="UPI Anna"/>
    <m/>
  </r>
  <r>
    <s v="Ivan "/>
    <x v="6"/>
    <n v="3"/>
    <n v="55"/>
    <n v="165"/>
    <d v="2026-04-04T00:00:00"/>
    <x v="0"/>
    <s v="✅ Paid in Full "/>
    <s v="Anna"/>
    <s v="UPI Anna"/>
    <m/>
  </r>
  <r>
    <s v="Ivan "/>
    <x v="2"/>
    <n v="2"/>
    <n v="55"/>
    <n v="110"/>
    <d v="2026-04-04T00:00:00"/>
    <x v="0"/>
    <s v="✅ Paid in Full "/>
    <s v="Anna"/>
    <s v="UPI Anna"/>
    <m/>
  </r>
  <r>
    <s v="Janhavi"/>
    <x v="8"/>
    <n v="5"/>
    <n v="150"/>
    <n v="750"/>
    <d v="2026-04-04T00:00:00"/>
    <x v="0"/>
    <s v="✅ Paid in Full "/>
    <s v="Anna"/>
    <s v="UPI Anna"/>
    <m/>
  </r>
  <r>
    <s v="Janhavi"/>
    <x v="2"/>
    <n v="10"/>
    <n v="55"/>
    <n v="550"/>
    <d v="2026-04-04T00:00:00"/>
    <x v="0"/>
    <s v="✅ Paid in Full "/>
    <s v="Anna"/>
    <s v="Cash"/>
    <m/>
  </r>
  <r>
    <s v="Joan D'Silva"/>
    <x v="5"/>
    <n v="4"/>
    <n v="60"/>
    <n v="240"/>
    <d v="2026-04-04T00:00:00"/>
    <x v="0"/>
    <s v="✅ Paid in Full "/>
    <s v="Anna"/>
    <s v="UPI Anna"/>
    <m/>
  </r>
  <r>
    <s v="Joan D'Silva"/>
    <x v="3"/>
    <n v="3"/>
    <n v="65"/>
    <n v="195"/>
    <d v="2026-04-04T00:00:00"/>
    <x v="0"/>
    <s v="✅ Paid in Full "/>
    <s v="Anna"/>
    <s v="UPI Anna"/>
    <m/>
  </r>
  <r>
    <s v="Joan D'Silva"/>
    <x v="4"/>
    <n v="3"/>
    <n v="60"/>
    <n v="180"/>
    <d v="2026-04-04T00:00:00"/>
    <x v="0"/>
    <s v="✅ Paid in Full "/>
    <s v="Anna"/>
    <s v="UPI Anna"/>
    <m/>
  </r>
  <r>
    <s v="Josepha"/>
    <x v="3"/>
    <n v="2"/>
    <n v="65"/>
    <n v="130"/>
    <d v="2026-04-02T00:00:00"/>
    <x v="0"/>
    <s v="✅ Paid in Full "/>
    <s v="Sarah"/>
    <s v="Cash"/>
    <m/>
  </r>
  <r>
    <s v="Josepha"/>
    <x v="1"/>
    <n v="2"/>
    <n v="40"/>
    <n v="80"/>
    <d v="2026-04-02T00:00:00"/>
    <x v="0"/>
    <s v="✅ Paid in Full "/>
    <s v="Sarah"/>
    <s v="Cash"/>
    <m/>
  </r>
  <r>
    <s v="Josepha"/>
    <x v="4"/>
    <n v="1"/>
    <n v="60"/>
    <n v="60"/>
    <d v="2026-04-02T00:00:00"/>
    <x v="0"/>
    <s v="✅ Paid in Full "/>
    <s v="Sarah"/>
    <s v="Cash"/>
    <m/>
  </r>
  <r>
    <s v="Josepha"/>
    <x v="8"/>
    <n v="1"/>
    <n v="150"/>
    <n v="150"/>
    <d v="2026-04-02T00:00:00"/>
    <x v="0"/>
    <s v="✅ Paid in Full "/>
    <s v="Sarah"/>
    <s v="Cash"/>
    <m/>
  </r>
  <r>
    <s v="Josepha"/>
    <x v="6"/>
    <n v="5"/>
    <n v="55"/>
    <n v="275"/>
    <d v="2026-04-02T00:00:00"/>
    <x v="0"/>
    <s v="✅ Paid in Full "/>
    <s v="Sarah"/>
    <s v="UPI Sarah"/>
    <m/>
  </r>
  <r>
    <s v="Josepha"/>
    <x v="2"/>
    <n v="2"/>
    <n v="55"/>
    <n v="110"/>
    <d v="2026-04-02T00:00:00"/>
    <x v="0"/>
    <s v="✅ Paid in Full "/>
    <s v="Sarah"/>
    <s v="Cash"/>
    <m/>
  </r>
  <r>
    <s v="Jude"/>
    <x v="18"/>
    <n v="98"/>
    <n v="110"/>
    <n v="10780"/>
    <d v="2026-04-05T00:00:00"/>
    <x v="0"/>
    <s v="✅ Paid in Full "/>
    <s v="Anna"/>
    <s v="UPI Anna"/>
    <m/>
  </r>
  <r>
    <s v="Jude"/>
    <x v="4"/>
    <n v="12"/>
    <n v="60"/>
    <n v="720"/>
    <d v="2026-04-06T00:00:00"/>
    <x v="0"/>
    <s v="✅ Paid in Full "/>
    <s v="Anna"/>
    <s v="UPI Anna"/>
    <m/>
  </r>
  <r>
    <s v="Juliana aunty"/>
    <x v="0"/>
    <n v="4"/>
    <n v="60"/>
    <n v="240"/>
    <d v="2026-04-04T00:00:00"/>
    <x v="0"/>
    <s v="✅ Paid in Full "/>
    <s v="Sarah"/>
    <s v="UPI Sarah"/>
    <m/>
  </r>
  <r>
    <s v="Juliana aunty"/>
    <x v="21"/>
    <n v="2"/>
    <n v="130"/>
    <n v="260"/>
    <d v="2026-04-04T00:00:00"/>
    <x v="0"/>
    <s v="✅ Paid in Full "/>
    <s v="Sarah"/>
    <s v="UPI Sarah"/>
    <m/>
  </r>
  <r>
    <s v="Juliana aunty"/>
    <x v="19"/>
    <n v="2"/>
    <n v="40"/>
    <n v="80"/>
    <d v="2026-04-04T00:00:00"/>
    <x v="0"/>
    <s v="✅ Paid in Full "/>
    <s v="Sarah"/>
    <s v="UPI Sarah"/>
    <m/>
  </r>
  <r>
    <s v="Juliana aunty"/>
    <x v="1"/>
    <n v="2"/>
    <n v="40"/>
    <n v="80"/>
    <d v="2026-04-04T00:00:00"/>
    <x v="0"/>
    <s v="✅ Paid in Full "/>
    <s v="Sarah"/>
    <s v="UPI Sarah"/>
    <m/>
  </r>
  <r>
    <s v="Kenneth"/>
    <x v="0"/>
    <n v="7"/>
    <n v="60"/>
    <n v="420"/>
    <d v="2026-04-04T00:00:00"/>
    <x v="0"/>
    <s v="✅ Paid in Full "/>
    <s v="Anna"/>
    <s v="UPI Anna"/>
    <m/>
  </r>
  <r>
    <s v="Kenneth"/>
    <x v="3"/>
    <n v="7"/>
    <n v="65"/>
    <n v="455"/>
    <d v="2026-04-04T00:00:00"/>
    <x v="0"/>
    <s v="✅ Paid in Full "/>
    <s v="Anna"/>
    <s v="UPI Anna"/>
    <m/>
  </r>
  <r>
    <s v="Kenneth"/>
    <x v="4"/>
    <n v="7"/>
    <n v="60"/>
    <n v="420"/>
    <d v="2026-04-04T00:00:00"/>
    <x v="0"/>
    <s v="✅ Paid in Full "/>
    <s v="Anna"/>
    <s v="UPI Anna"/>
    <m/>
  </r>
  <r>
    <s v="Kenneth"/>
    <x v="6"/>
    <n v="7"/>
    <n v="55"/>
    <n v="385"/>
    <d v="2026-04-04T00:00:00"/>
    <x v="0"/>
    <s v="✅ Paid in Full "/>
    <s v="Anna"/>
    <s v="UPI Anna"/>
    <m/>
  </r>
  <r>
    <s v="Kenneth"/>
    <x v="28"/>
    <n v="7"/>
    <n v="50"/>
    <n v="350"/>
    <d v="2026-04-04T00:00:00"/>
    <x v="0"/>
    <s v="✅ Paid in Full "/>
    <s v="Anna"/>
    <s v="UPI Anna"/>
    <m/>
  </r>
  <r>
    <s v="Kevin"/>
    <x v="5"/>
    <n v="13"/>
    <n v="60"/>
    <n v="780"/>
    <d v="2026-04-04T00:00:00"/>
    <x v="0"/>
    <s v="✅ Paid in Full "/>
    <s v="Anna"/>
    <s v="UPI Anna"/>
    <m/>
  </r>
  <r>
    <s v="Kevin"/>
    <x v="3"/>
    <n v="19"/>
    <n v="65"/>
    <n v="1235"/>
    <d v="2026-04-04T00:00:00"/>
    <x v="0"/>
    <s v="✅ Paid in Full "/>
    <s v="Anna"/>
    <s v="UPI Anna"/>
    <m/>
  </r>
  <r>
    <s v="Kevin"/>
    <x v="4"/>
    <n v="18"/>
    <n v="60"/>
    <n v="1080"/>
    <d v="2026-04-04T00:00:00"/>
    <x v="0"/>
    <s v="✅ Paid in Full "/>
    <s v="Anna"/>
    <s v="UPI Anna"/>
    <m/>
  </r>
  <r>
    <s v="Kevin"/>
    <x v="6"/>
    <n v="15"/>
    <n v="55"/>
    <n v="825"/>
    <d v="2026-04-04T00:00:00"/>
    <x v="0"/>
    <s v="✅ Paid in Full "/>
    <s v="Anna"/>
    <s v="UPI Anna"/>
    <m/>
  </r>
  <r>
    <s v="Kevin"/>
    <x v="2"/>
    <n v="14"/>
    <n v="55"/>
    <n v="770"/>
    <d v="2026-04-04T00:00:00"/>
    <x v="0"/>
    <s v="✅ Paid in Full "/>
    <s v="Anna"/>
    <s v="UPI Anna"/>
    <m/>
  </r>
  <r>
    <s v="Latika "/>
    <x v="9"/>
    <n v="4"/>
    <n v="100"/>
    <n v="400"/>
    <d v="2026-04-02T00:00:00"/>
    <x v="0"/>
    <s v="✅ Paid in Full "/>
    <s v="Sarah"/>
    <s v="UPI Sarah"/>
    <m/>
  </r>
  <r>
    <s v="Lovinta "/>
    <x v="8"/>
    <n v="10"/>
    <n v="150"/>
    <n v="1500"/>
    <d v="2026-04-02T00:00:00"/>
    <x v="0"/>
    <s v="✅ Paid in Full "/>
    <s v="Anna"/>
    <s v="UPI Anna"/>
    <m/>
  </r>
  <r>
    <s v="Lydia"/>
    <x v="10"/>
    <n v="20"/>
    <n v="25"/>
    <n v="500"/>
    <d v="2026-04-04T00:00:00"/>
    <x v="0"/>
    <s v="✅ Paid in Full "/>
    <s v="Anna"/>
    <s v="UPI Anna"/>
    <m/>
  </r>
  <r>
    <s v="Lydia"/>
    <x v="8"/>
    <n v="1"/>
    <n v="150"/>
    <n v="150"/>
    <d v="2026-04-04T00:00:00"/>
    <x v="0"/>
    <s v="✅ Paid in Full "/>
    <s v="Anna"/>
    <s v="UPI Anna"/>
    <m/>
  </r>
  <r>
    <s v="Lydia"/>
    <x v="2"/>
    <n v="3"/>
    <n v="55"/>
    <n v="165"/>
    <d v="2026-04-04T00:00:00"/>
    <x v="0"/>
    <s v="✅ Paid in Full "/>
    <s v="Anna"/>
    <s v="UPI Anna"/>
    <m/>
  </r>
  <r>
    <s v="Lydia"/>
    <x v="23"/>
    <n v="8"/>
    <n v="25"/>
    <n v="200"/>
    <d v="2026-04-04T00:00:00"/>
    <x v="0"/>
    <s v="✅ Paid in Full "/>
    <s v="Anna"/>
    <s v="UPI Anna"/>
    <m/>
  </r>
  <r>
    <s v="Lydia"/>
    <x v="0"/>
    <n v="3"/>
    <n v="60"/>
    <n v="180"/>
    <d v="2026-04-07T00:00:00"/>
    <x v="0"/>
    <s v="✅ Paid in Full "/>
    <s v="Anna"/>
    <s v="UPI Anna"/>
    <m/>
  </r>
  <r>
    <s v="Monika"/>
    <x v="0"/>
    <n v="15"/>
    <n v="60"/>
    <n v="900"/>
    <d v="2026-04-09T00:00:00"/>
    <x v="1"/>
    <s v="✅ Paid in Full "/>
    <s v="Sarah"/>
    <s v="UPI Sarah"/>
    <m/>
  </r>
  <r>
    <s v="Myron 1"/>
    <x v="10"/>
    <n v="7"/>
    <n v="25"/>
    <n v="175"/>
    <d v="2026-04-02T00:00:00"/>
    <x v="0"/>
    <s v="✅ Paid in Full "/>
    <s v="Sarah"/>
    <s v="UPI Sarah"/>
    <m/>
  </r>
  <r>
    <s v="Myron 1"/>
    <x v="11"/>
    <n v="6"/>
    <n v="25"/>
    <n v="150"/>
    <d v="2026-04-02T00:00:00"/>
    <x v="0"/>
    <s v="✅ Paid in Full "/>
    <s v="Sarah"/>
    <s v="UPI Sarah"/>
    <m/>
  </r>
  <r>
    <s v="Myron 1"/>
    <x v="13"/>
    <n v="7"/>
    <n v="25"/>
    <n v="175"/>
    <d v="2026-04-02T00:00:00"/>
    <x v="0"/>
    <s v="✅ Paid in Full "/>
    <s v="Sarah"/>
    <s v="UPI Sarah"/>
    <m/>
  </r>
  <r>
    <s v="Myron 1"/>
    <x v="23"/>
    <n v="15"/>
    <n v="25"/>
    <n v="375"/>
    <d v="2026-04-02T00:00:00"/>
    <x v="0"/>
    <s v="✅ Paid in Full "/>
    <s v="Sarah"/>
    <s v="UPI Sarah"/>
    <m/>
  </r>
  <r>
    <s v="Myron 2"/>
    <x v="10"/>
    <n v="6"/>
    <n v="25"/>
    <n v="150"/>
    <d v="2026-04-02T00:00:00"/>
    <x v="0"/>
    <s v="✅ Paid in Full "/>
    <s v="Sarah"/>
    <s v="UPI Sarah"/>
    <m/>
  </r>
  <r>
    <s v="Myron 2"/>
    <x v="20"/>
    <n v="1"/>
    <n v="130"/>
    <n v="130"/>
    <d v="2026-04-02T00:00:00"/>
    <x v="0"/>
    <s v="✅ Paid in Full "/>
    <s v="Sarah"/>
    <s v="UPI Sarah"/>
    <m/>
  </r>
  <r>
    <s v="Myron 2"/>
    <x v="11"/>
    <n v="6"/>
    <n v="25"/>
    <n v="150"/>
    <d v="2026-04-02T00:00:00"/>
    <x v="0"/>
    <s v="✅ Paid in Full "/>
    <s v="Sarah"/>
    <s v="UPI Sarah"/>
    <m/>
  </r>
  <r>
    <s v="Myron 2"/>
    <x v="21"/>
    <n v="1"/>
    <n v="130"/>
    <n v="130"/>
    <d v="2026-04-02T00:00:00"/>
    <x v="0"/>
    <s v="✅ Paid in Full "/>
    <s v="Sarah"/>
    <s v="UPI Sarah"/>
    <m/>
  </r>
  <r>
    <s v="Myron 2"/>
    <x v="13"/>
    <n v="6"/>
    <n v="25"/>
    <n v="150"/>
    <d v="2026-04-02T00:00:00"/>
    <x v="0"/>
    <s v="✅ Paid in Full "/>
    <s v="Sarah"/>
    <s v="UPI Sarah"/>
    <m/>
  </r>
  <r>
    <s v="Myron 2"/>
    <x v="9"/>
    <n v="2"/>
    <n v="100"/>
    <n v="200"/>
    <d v="2026-04-02T00:00:00"/>
    <x v="0"/>
    <s v="✅ Paid in Full "/>
    <s v="Sarah"/>
    <s v="UPI Sarah"/>
    <m/>
  </r>
  <r>
    <s v="Myron 2"/>
    <x v="15"/>
    <n v="6"/>
    <n v="20"/>
    <n v="120"/>
    <d v="2026-04-02T00:00:00"/>
    <x v="0"/>
    <s v="✅ Paid in Full "/>
    <s v="Sarah"/>
    <s v="UPI Sarah"/>
    <m/>
  </r>
  <r>
    <s v="Myron 2"/>
    <x v="22"/>
    <n v="1"/>
    <n v="130"/>
    <n v="130"/>
    <d v="2026-04-02T00:00:00"/>
    <x v="0"/>
    <s v="✅ Paid in Full "/>
    <s v="Sarah"/>
    <s v="UPI Sarah"/>
    <m/>
  </r>
  <r>
    <s v="Myron 2"/>
    <x v="23"/>
    <n v="6"/>
    <n v="25"/>
    <n v="150"/>
    <d v="2026-04-02T00:00:00"/>
    <x v="0"/>
    <s v="✅ Paid in Full "/>
    <s v="Sarah"/>
    <s v="UPI Sarah"/>
    <m/>
  </r>
  <r>
    <s v="Myron 3"/>
    <x v="10"/>
    <n v="5"/>
    <n v="25"/>
    <n v="125"/>
    <d v="2026-04-02T00:00:00"/>
    <x v="0"/>
    <s v="✅ Paid in Full "/>
    <s v="Sarah"/>
    <s v="UPI Sarah"/>
    <m/>
  </r>
  <r>
    <s v="Myron 3"/>
    <x v="1"/>
    <n v="2"/>
    <n v="40"/>
    <n v="80"/>
    <d v="2026-04-02T00:00:00"/>
    <x v="0"/>
    <s v="✅ Paid in Full "/>
    <s v="Sarah"/>
    <s v="UPI Sarah"/>
    <m/>
  </r>
  <r>
    <s v="Myron 3"/>
    <x v="8"/>
    <n v="1"/>
    <n v="150"/>
    <n v="150"/>
    <d v="2026-04-02T00:00:00"/>
    <x v="0"/>
    <s v="✅ Paid in Full "/>
    <s v="Sarah"/>
    <s v="UPI Sarah"/>
    <m/>
  </r>
  <r>
    <s v="Neil"/>
    <x v="21"/>
    <n v="1"/>
    <n v="130"/>
    <n v="130"/>
    <d v="2026-04-04T00:00:00"/>
    <x v="0"/>
    <s v="✅ Paid in Full "/>
    <s v="Anna"/>
    <s v="UPI Anna"/>
    <m/>
  </r>
  <r>
    <s v="Neil"/>
    <x v="22"/>
    <n v="1"/>
    <n v="130"/>
    <n v="130"/>
    <d v="2026-04-04T00:00:00"/>
    <x v="0"/>
    <s v="✅ Paid in Full "/>
    <s v="Anna"/>
    <s v="UPI Anna"/>
    <m/>
  </r>
  <r>
    <s v="Nisha"/>
    <x v="5"/>
    <n v="1"/>
    <n v="60"/>
    <n v="60"/>
    <d v="2026-04-04T00:00:00"/>
    <x v="0"/>
    <s v="✅ Paid in Full "/>
    <s v="Anna"/>
    <s v="Cash"/>
    <m/>
  </r>
  <r>
    <s v="Nisha"/>
    <x v="4"/>
    <n v="1"/>
    <n v="60"/>
    <n v="60"/>
    <d v="2026-04-04T00:00:00"/>
    <x v="0"/>
    <s v="✅ Paid in Full "/>
    <s v="Anna"/>
    <s v="Cash"/>
    <m/>
  </r>
  <r>
    <s v="Nisha"/>
    <x v="8"/>
    <n v="1"/>
    <n v="150"/>
    <n v="150"/>
    <d v="2026-04-04T00:00:00"/>
    <x v="0"/>
    <s v="✅ Paid in Full "/>
    <s v="Anna"/>
    <s v="Cash"/>
    <m/>
  </r>
  <r>
    <s v="Rachana"/>
    <x v="5"/>
    <n v="1"/>
    <n v="60"/>
    <n v="60"/>
    <d v="2026-04-04T00:00:00"/>
    <x v="0"/>
    <s v="✅ Paid in Full "/>
    <s v="Sarah"/>
    <s v="UPI Sarah"/>
    <m/>
  </r>
  <r>
    <s v="Rachana"/>
    <x v="3"/>
    <n v="1"/>
    <n v="65"/>
    <n v="65"/>
    <d v="2026-04-04T00:00:00"/>
    <x v="0"/>
    <s v="✅ Paid in Full "/>
    <s v="Sarah"/>
    <s v="UPI Sarah"/>
    <m/>
  </r>
  <r>
    <s v="Rachana"/>
    <x v="4"/>
    <n v="1"/>
    <n v="60"/>
    <n v="60"/>
    <d v="2026-04-04T00:00:00"/>
    <x v="0"/>
    <s v="✅ Paid in Full "/>
    <s v="Sarah"/>
    <s v="UPI Sarah"/>
    <m/>
  </r>
  <r>
    <s v="Rachana"/>
    <x v="6"/>
    <n v="1"/>
    <n v="55"/>
    <n v="55"/>
    <d v="2026-04-04T00:00:00"/>
    <x v="0"/>
    <s v="✅ Paid in Full "/>
    <s v="Sarah"/>
    <s v="UPI Sarah"/>
    <m/>
  </r>
  <r>
    <s v="Rachana"/>
    <x v="27"/>
    <n v="1"/>
    <n v="50"/>
    <n v="50"/>
    <d v="2026-04-04T00:00:00"/>
    <x v="0"/>
    <s v="✅ Paid in Full "/>
    <s v="Sarah"/>
    <s v="UPI Sarah"/>
    <m/>
  </r>
  <r>
    <s v="Rachana"/>
    <x v="2"/>
    <n v="1"/>
    <n v="55"/>
    <n v="55"/>
    <d v="2026-04-04T00:00:00"/>
    <x v="0"/>
    <s v="✅ Paid in Full "/>
    <s v="Sarah"/>
    <s v="UPI Sarah"/>
    <m/>
  </r>
  <r>
    <s v="Rachel"/>
    <x v="5"/>
    <n v="3"/>
    <n v="60"/>
    <n v="180"/>
    <d v="2026-04-02T00:00:00"/>
    <x v="0"/>
    <s v="✅ Paid in Full "/>
    <s v="Sarah"/>
    <s v="Cash"/>
    <m/>
  </r>
  <r>
    <s v="Rachel"/>
    <x v="7"/>
    <n v="1"/>
    <n v="25"/>
    <n v="25"/>
    <d v="2026-04-02T00:00:00"/>
    <x v="0"/>
    <s v="✅ Paid in Full "/>
    <s v="Sarah"/>
    <s v="Cash"/>
    <m/>
  </r>
  <r>
    <s v="Rachel"/>
    <x v="11"/>
    <n v="1"/>
    <n v="25"/>
    <n v="25"/>
    <d v="2026-04-02T00:00:00"/>
    <x v="0"/>
    <s v="✅ Paid in Full "/>
    <s v="Sarah"/>
    <s v="Cash"/>
    <m/>
  </r>
  <r>
    <s v="Rachel"/>
    <x v="6"/>
    <n v="2"/>
    <n v="55"/>
    <n v="110"/>
    <d v="2026-04-02T00:00:00"/>
    <x v="0"/>
    <s v="✅ Paid in Full "/>
    <s v="Sarah"/>
    <s v="Cash"/>
    <m/>
  </r>
  <r>
    <s v="Rachel"/>
    <x v="13"/>
    <n v="1"/>
    <n v="25"/>
    <n v="25"/>
    <d v="2026-04-02T00:00:00"/>
    <x v="0"/>
    <s v="✅ Paid in Full "/>
    <s v="Sarah"/>
    <s v="Cash"/>
    <m/>
  </r>
  <r>
    <s v="Rachel"/>
    <x v="2"/>
    <n v="2"/>
    <n v="55"/>
    <n v="110"/>
    <d v="2026-04-02T00:00:00"/>
    <x v="0"/>
    <s v="✅ Paid in Full "/>
    <s v="Sarah"/>
    <s v="Cash"/>
    <m/>
  </r>
  <r>
    <s v="Rachel"/>
    <x v="23"/>
    <n v="1"/>
    <n v="25"/>
    <n v="25"/>
    <d v="2026-04-02T00:00:00"/>
    <x v="0"/>
    <s v="✅ Paid in Full "/>
    <s v="Sarah"/>
    <s v="Cash"/>
    <m/>
  </r>
  <r>
    <s v="Raisa Braganza"/>
    <x v="1"/>
    <n v="2"/>
    <n v="40"/>
    <n v="80"/>
    <d v="2026-04-04T00:00:00"/>
    <x v="0"/>
    <s v="✅ Paid in Full "/>
    <s v="Anna"/>
    <s v="UPI Anna"/>
    <m/>
  </r>
  <r>
    <s v="Raisa Braganza"/>
    <x v="4"/>
    <n v="2"/>
    <n v="60"/>
    <n v="120"/>
    <d v="2026-04-04T00:00:00"/>
    <x v="0"/>
    <s v="✅ Paid in Full "/>
    <s v="Anna"/>
    <s v="UPI Anna"/>
    <m/>
  </r>
  <r>
    <s v="Rebecca Moraes"/>
    <x v="5"/>
    <n v="1"/>
    <n v="60"/>
    <n v="60"/>
    <d v="2026-04-04T00:00:00"/>
    <x v="0"/>
    <s v="✅ Paid in Full "/>
    <s v="Anna"/>
    <s v="UPI Anna"/>
    <m/>
  </r>
  <r>
    <s v="Rebecca Moraes"/>
    <x v="3"/>
    <n v="1"/>
    <n v="65"/>
    <n v="65"/>
    <d v="2026-04-04T00:00:00"/>
    <x v="0"/>
    <s v="✅ Paid in Full "/>
    <s v="Anna"/>
    <s v="UPI Anna"/>
    <m/>
  </r>
  <r>
    <s v="Rebecca Moraes"/>
    <x v="19"/>
    <n v="1"/>
    <n v="40"/>
    <n v="40"/>
    <d v="2026-04-04T00:00:00"/>
    <x v="0"/>
    <s v="✅ Paid in Full "/>
    <s v="Anna"/>
    <s v="UPI Anna"/>
    <m/>
  </r>
  <r>
    <s v="Rebecca Moraes"/>
    <x v="1"/>
    <n v="2"/>
    <n v="40"/>
    <n v="80"/>
    <d v="2026-04-04T00:00:00"/>
    <x v="0"/>
    <s v="✅ Paid in Full "/>
    <s v="Anna"/>
    <s v="UPI Anna"/>
    <m/>
  </r>
  <r>
    <s v="Rebecca Moraes"/>
    <x v="4"/>
    <n v="1"/>
    <n v="60"/>
    <n v="60"/>
    <d v="2026-04-04T00:00:00"/>
    <x v="0"/>
    <s v="✅ Paid in Full "/>
    <s v="Anna"/>
    <s v="UPI Anna"/>
    <m/>
  </r>
  <r>
    <s v="Rebecca Moraes"/>
    <x v="9"/>
    <n v="2"/>
    <n v="100"/>
    <n v="200"/>
    <d v="2026-04-04T00:00:00"/>
    <x v="0"/>
    <s v="✅ Paid in Full "/>
    <s v="Anna"/>
    <s v="UPI Anna"/>
    <m/>
  </r>
  <r>
    <s v="Regina Pereira"/>
    <x v="12"/>
    <n v="2"/>
    <n v="30"/>
    <n v="60"/>
    <d v="2026-04-04T00:00:00"/>
    <x v="0"/>
    <s v="✅ Paid in Full "/>
    <s v="Anna"/>
    <s v="UPI Anna"/>
    <m/>
  </r>
  <r>
    <s v="Regina Pereira"/>
    <x v="1"/>
    <n v="1"/>
    <n v="40"/>
    <n v="40"/>
    <d v="2026-04-04T00:00:00"/>
    <x v="0"/>
    <s v="✅ Paid in Full "/>
    <s v="Anna"/>
    <s v="UPI Anna"/>
    <m/>
  </r>
  <r>
    <s v="Regina Pereira"/>
    <x v="13"/>
    <n v="2"/>
    <n v="25"/>
    <n v="50"/>
    <d v="2026-04-04T00:00:00"/>
    <x v="0"/>
    <s v="✅ Paid in Full "/>
    <s v="Anna"/>
    <s v="UPI Anna"/>
    <m/>
  </r>
  <r>
    <s v="Regina Pereira"/>
    <x v="23"/>
    <n v="2"/>
    <n v="25"/>
    <n v="50"/>
    <d v="2026-04-04T00:00:00"/>
    <x v="0"/>
    <s v="✅ Paid in Full "/>
    <s v="Anna"/>
    <s v="UPI Anna"/>
    <m/>
  </r>
  <r>
    <s v="Reuben"/>
    <x v="10"/>
    <n v="1"/>
    <n v="25"/>
    <n v="25"/>
    <d v="2026-03-26T00:00:00"/>
    <x v="0"/>
    <s v="✅ Paid in Full "/>
    <s v="Sarah"/>
    <s v="UPI Sarah"/>
    <m/>
  </r>
  <r>
    <s v="Reuben"/>
    <x v="13"/>
    <n v="1"/>
    <n v="25"/>
    <n v="25"/>
    <d v="2026-03-26T00:00:00"/>
    <x v="0"/>
    <s v="✅ Paid in Full "/>
    <s v="Sarah"/>
    <s v="UPI Sarah"/>
    <m/>
  </r>
  <r>
    <s v="Reuben"/>
    <x v="23"/>
    <n v="1"/>
    <n v="25"/>
    <n v="25"/>
    <d v="2026-03-26T00:00:00"/>
    <x v="0"/>
    <s v="✅ Paid in Full "/>
    <s v="Sarah"/>
    <s v="UPI Sarah"/>
    <m/>
  </r>
  <r>
    <s v="Reuben"/>
    <x v="0"/>
    <n v="1"/>
    <n v="60"/>
    <n v="60"/>
    <d v="2026-04-04T00:00:00"/>
    <x v="0"/>
    <s v="✅ Paid in Full "/>
    <s v="Sarah"/>
    <s v="UPI Sarah"/>
    <m/>
  </r>
  <r>
    <s v="Reuben"/>
    <x v="10"/>
    <n v="4"/>
    <n v="25"/>
    <n v="100"/>
    <d v="2026-04-04T00:00:00"/>
    <x v="0"/>
    <s v="✅ Paid in Full "/>
    <s v="Sarah"/>
    <s v="UPI Sarah"/>
    <m/>
  </r>
  <r>
    <s v="Reuben"/>
    <x v="11"/>
    <n v="1"/>
    <n v="25"/>
    <n v="25"/>
    <d v="2026-04-04T00:00:00"/>
    <x v="0"/>
    <s v="✅ Paid in Full "/>
    <s v="Sarah"/>
    <s v="UPI Sarah"/>
    <m/>
  </r>
  <r>
    <s v="Reuben"/>
    <x v="6"/>
    <n v="7"/>
    <n v="55"/>
    <n v="385"/>
    <d v="2026-04-04T00:00:00"/>
    <x v="0"/>
    <s v="✅ Paid in Full "/>
    <s v="Sarah"/>
    <s v="UPI Sarah"/>
    <m/>
  </r>
  <r>
    <s v="Reuben"/>
    <x v="13"/>
    <n v="5"/>
    <n v="25"/>
    <n v="125"/>
    <d v="2026-04-04T00:00:00"/>
    <x v="0"/>
    <s v="✅ Paid in Full "/>
    <s v="Sarah"/>
    <s v="UPI Sarah"/>
    <m/>
  </r>
  <r>
    <s v="Riccardo"/>
    <x v="15"/>
    <n v="5"/>
    <n v="20"/>
    <n v="100"/>
    <d v="2026-04-05T00:00:00"/>
    <x v="0"/>
    <s v="✅ Paid in Full "/>
    <s v="Sarah"/>
    <s v="UPI Sarah"/>
    <m/>
  </r>
  <r>
    <s v="Riccardo"/>
    <x v="23"/>
    <n v="5"/>
    <n v="25"/>
    <n v="125"/>
    <d v="2026-04-05T00:00:00"/>
    <x v="0"/>
    <s v="✅ Paid in Full "/>
    <s v="Sarah"/>
    <s v="UPI Sarah"/>
    <m/>
  </r>
  <r>
    <s v="Riccardo"/>
    <x v="11"/>
    <n v="5"/>
    <n v="25"/>
    <n v="125"/>
    <d v="2026-04-05T00:00:00"/>
    <x v="0"/>
    <s v="✅ Paid in Full "/>
    <s v="Sarah"/>
    <s v="UPI Sarah"/>
    <m/>
  </r>
  <r>
    <s v="Rohan"/>
    <x v="10"/>
    <n v="10"/>
    <n v="25"/>
    <n v="250"/>
    <d v="2026-03-31T00:00:00"/>
    <x v="0"/>
    <s v="✅ Paid in Full "/>
    <s v="Sarah"/>
    <s v="UPI Sarah"/>
    <m/>
  </r>
  <r>
    <s v="Rohan"/>
    <x v="11"/>
    <n v="5"/>
    <n v="25"/>
    <n v="125"/>
    <d v="2026-03-31T00:00:00"/>
    <x v="0"/>
    <s v="✅ Paid in Full "/>
    <s v="Sarah"/>
    <s v="UPI Sarah"/>
    <m/>
  </r>
  <r>
    <s v="Rohan"/>
    <x v="13"/>
    <n v="5"/>
    <n v="25"/>
    <n v="125"/>
    <d v="2026-03-31T00:00:00"/>
    <x v="0"/>
    <s v="✅ Paid in Full "/>
    <s v="Sarah"/>
    <s v="UPI Sarah"/>
    <m/>
  </r>
  <r>
    <s v="Rohan"/>
    <x v="14"/>
    <n v="5"/>
    <n v="20"/>
    <n v="100"/>
    <d v="2026-03-31T00:00:00"/>
    <x v="0"/>
    <s v="✅ Paid in Full "/>
    <s v="Sarah"/>
    <s v="UPI Sarah"/>
    <m/>
  </r>
  <r>
    <s v="Rohan Francis"/>
    <x v="0"/>
    <n v="1"/>
    <n v="60"/>
    <n v="60"/>
    <d v="2026-04-04T00:00:00"/>
    <x v="0"/>
    <s v="✅ Paid in Full "/>
    <s v="Anna"/>
    <s v="UPI Anna"/>
    <m/>
  </r>
  <r>
    <s v="Rohan Francis"/>
    <x v="3"/>
    <n v="1"/>
    <n v="65"/>
    <n v="65"/>
    <d v="2026-04-04T00:00:00"/>
    <x v="0"/>
    <s v="✅ Paid in Full "/>
    <s v="Anna"/>
    <s v="UPI Anna"/>
    <m/>
  </r>
  <r>
    <s v="Rohan Francis"/>
    <x v="2"/>
    <n v="6"/>
    <n v="55"/>
    <n v="330"/>
    <d v="2026-04-04T00:00:00"/>
    <x v="0"/>
    <s v="✅ Paid in Full "/>
    <s v="Anna"/>
    <s v="UPI Anna"/>
    <m/>
  </r>
  <r>
    <s v="Rohit Khadde"/>
    <x v="12"/>
    <n v="10"/>
    <n v="30"/>
    <n v="300"/>
    <d v="2026-04-05T00:00:00"/>
    <x v="0"/>
    <s v="✅ Paid in Full "/>
    <s v="Anna"/>
    <s v="UPI Anna"/>
    <m/>
  </r>
  <r>
    <s v="Rohit Khadde"/>
    <x v="11"/>
    <n v="6"/>
    <n v="25"/>
    <n v="150"/>
    <d v="2026-04-05T00:00:00"/>
    <x v="0"/>
    <s v="✅ Paid in Full "/>
    <s v="Anna"/>
    <s v="UPI Anna"/>
    <m/>
  </r>
  <r>
    <s v="Rohit Khadde"/>
    <x v="13"/>
    <n v="4"/>
    <n v="25"/>
    <n v="100"/>
    <d v="2026-04-05T00:00:00"/>
    <x v="0"/>
    <s v="✅ Paid in Full "/>
    <s v="Anna"/>
    <s v="UPI Anna"/>
    <m/>
  </r>
  <r>
    <s v="Rohit Khadde"/>
    <x v="10"/>
    <n v="4"/>
    <n v="25"/>
    <n v="100"/>
    <d v="2026-04-05T00:00:00"/>
    <x v="0"/>
    <s v="✅ Paid in Full "/>
    <s v="Anna"/>
    <s v="UPI Anna"/>
    <m/>
  </r>
  <r>
    <s v="Roohan"/>
    <x v="20"/>
    <n v="1"/>
    <n v="130"/>
    <n v="130"/>
    <d v="2026-03-31T00:00:00"/>
    <x v="0"/>
    <s v="✅ Paid in Full "/>
    <s v="Sarah"/>
    <s v="UPI Sarah"/>
    <m/>
  </r>
  <r>
    <s v="Roohan"/>
    <x v="22"/>
    <n v="1"/>
    <n v="130"/>
    <n v="130"/>
    <d v="2026-03-31T00:00:00"/>
    <x v="0"/>
    <s v="✅ Paid in Full "/>
    <s v="Sarah"/>
    <s v="UPI Sarah"/>
    <m/>
  </r>
  <r>
    <s v="Rowena"/>
    <x v="8"/>
    <n v="3"/>
    <n v="150"/>
    <n v="450"/>
    <d v="2026-04-05T00:00:00"/>
    <x v="0"/>
    <s v="✅ Paid in Full "/>
    <s v="Sarah"/>
    <s v="UPI Sarah"/>
    <m/>
  </r>
  <r>
    <s v="Saahil Lazar"/>
    <x v="10"/>
    <n v="1"/>
    <n v="25"/>
    <n v="25"/>
    <d v="2026-03-26T00:00:00"/>
    <x v="0"/>
    <s v="✅ Paid in Full "/>
    <s v="Anna"/>
    <s v="UPI Anna"/>
    <m/>
  </r>
  <r>
    <s v="Saahil Lazar"/>
    <x v="12"/>
    <n v="1"/>
    <n v="30"/>
    <n v="30"/>
    <d v="2026-03-26T00:00:00"/>
    <x v="0"/>
    <s v="✅ Paid in Full "/>
    <s v="Anna"/>
    <s v="UPI Anna"/>
    <m/>
  </r>
  <r>
    <s v="Saahil Lazar"/>
    <x v="11"/>
    <n v="1"/>
    <n v="25"/>
    <n v="25"/>
    <d v="2026-03-26T00:00:00"/>
    <x v="0"/>
    <s v="✅ Paid in Full "/>
    <s v="Anna"/>
    <s v="UPI Anna"/>
    <m/>
  </r>
  <r>
    <s v="Saahil Lazar"/>
    <x v="13"/>
    <n v="1"/>
    <n v="25"/>
    <n v="25"/>
    <d v="2026-03-26T00:00:00"/>
    <x v="0"/>
    <s v="✅ Paid in Full "/>
    <s v="Anna"/>
    <s v="UPI Anna"/>
    <m/>
  </r>
  <r>
    <s v="Saahil Lazar"/>
    <x v="14"/>
    <n v="1"/>
    <n v="20"/>
    <n v="20"/>
    <d v="2026-03-26T00:00:00"/>
    <x v="0"/>
    <s v="✅ Paid in Full "/>
    <s v="Anna"/>
    <s v="UPI Anna"/>
    <m/>
  </r>
  <r>
    <s v="Saahil Lazar"/>
    <x v="23"/>
    <n v="1"/>
    <n v="25"/>
    <n v="25"/>
    <d v="2026-03-26T00:00:00"/>
    <x v="0"/>
    <s v="✅ Paid in Full "/>
    <s v="Anna"/>
    <s v="UPI Anna"/>
    <m/>
  </r>
  <r>
    <s v="Saahil Lazar"/>
    <x v="20"/>
    <n v="4"/>
    <n v="130"/>
    <n v="520"/>
    <d v="2026-04-04T00:00:00"/>
    <x v="0"/>
    <s v="✅ Paid in Full "/>
    <s v="Anna"/>
    <s v="UPI Anna"/>
    <m/>
  </r>
  <r>
    <s v="Saahil Lazar"/>
    <x v="22"/>
    <n v="2"/>
    <n v="130"/>
    <n v="260"/>
    <d v="2026-04-04T00:00:00"/>
    <x v="0"/>
    <s v="✅ Paid in Full "/>
    <s v="Anna"/>
    <s v="UPI Anna"/>
    <m/>
  </r>
  <r>
    <s v="Sabi"/>
    <x v="18"/>
    <n v="2"/>
    <n v="110"/>
    <n v="220"/>
    <d v="2026-03-26T00:00:00"/>
    <x v="0"/>
    <s v="✅ Paid in Full "/>
    <s v="Anna"/>
    <s v="UPI Anna"/>
    <m/>
  </r>
  <r>
    <s v="Sabi"/>
    <x v="20"/>
    <n v="2"/>
    <n v="130"/>
    <n v="260"/>
    <d v="2026-03-26T00:00:00"/>
    <x v="0"/>
    <s v="✅ Paid in Full "/>
    <s v="Anna"/>
    <s v="UPI Anna"/>
    <m/>
  </r>
  <r>
    <s v="Sandeep"/>
    <x v="0"/>
    <n v="1"/>
    <n v="60"/>
    <n v="60"/>
    <d v="2026-04-04T00:00:00"/>
    <x v="0"/>
    <s v="✅ Paid in Full "/>
    <s v="Sarah"/>
    <s v="UPI Sarah"/>
    <m/>
  </r>
  <r>
    <s v="Sandeep"/>
    <x v="3"/>
    <n v="1"/>
    <n v="65"/>
    <n v="65"/>
    <d v="2026-04-04T00:00:00"/>
    <x v="0"/>
    <s v="✅ Paid in Full "/>
    <s v="Sarah"/>
    <s v="UPI Sarah"/>
    <m/>
  </r>
  <r>
    <s v="Sandeep"/>
    <x v="6"/>
    <n v="1"/>
    <n v="55"/>
    <n v="55"/>
    <d v="2026-04-04T00:00:00"/>
    <x v="0"/>
    <s v="✅ Paid in Full "/>
    <s v="Sarah"/>
    <s v="UPI Sarah"/>
    <m/>
  </r>
  <r>
    <s v="Sandeep"/>
    <x v="2"/>
    <n v="1"/>
    <n v="55"/>
    <n v="55"/>
    <d v="2026-04-04T00:00:00"/>
    <x v="0"/>
    <s v="✅ Paid in Full "/>
    <s v="Sarah"/>
    <s v="UPI Sarah"/>
    <m/>
  </r>
  <r>
    <s v="Sandra "/>
    <x v="8"/>
    <n v="5"/>
    <n v="150"/>
    <n v="750"/>
    <d v="2026-04-03T00:00:00"/>
    <x v="0"/>
    <s v="✅ Paid in Full "/>
    <s v="Sarah"/>
    <s v="UPI Sarah"/>
    <m/>
  </r>
  <r>
    <s v="Sanjit"/>
    <x v="10"/>
    <n v="2"/>
    <n v="25"/>
    <n v="50"/>
    <d v="2026-04-04T00:00:00"/>
    <x v="0"/>
    <s v="✅ Paid in Full "/>
    <s v="Sarah"/>
    <s v="UPI Sarah"/>
    <m/>
  </r>
  <r>
    <s v="Sanjit"/>
    <x v="3"/>
    <n v="1"/>
    <n v="65"/>
    <n v="65"/>
    <d v="2026-04-04T00:00:00"/>
    <x v="0"/>
    <s v="✅ Paid in Full "/>
    <s v="Sarah"/>
    <s v="UPI Sarah"/>
    <m/>
  </r>
  <r>
    <s v="Sanjit"/>
    <x v="19"/>
    <n v="1"/>
    <n v="40"/>
    <n v="40"/>
    <d v="2026-04-04T00:00:00"/>
    <x v="0"/>
    <s v="✅ Paid in Full "/>
    <s v="Sarah"/>
    <s v="UPI Sarah"/>
    <m/>
  </r>
  <r>
    <s v="Sanjit"/>
    <x v="1"/>
    <n v="1"/>
    <n v="40"/>
    <n v="40"/>
    <d v="2026-04-04T00:00:00"/>
    <x v="0"/>
    <s v="✅ Paid in Full "/>
    <s v="Sarah"/>
    <s v="UPI Sarah"/>
    <m/>
  </r>
  <r>
    <s v="Sanjit"/>
    <x v="11"/>
    <n v="3"/>
    <n v="25"/>
    <n v="75"/>
    <d v="2026-04-04T00:00:00"/>
    <x v="0"/>
    <s v="✅ Paid in Full "/>
    <s v="Sarah"/>
    <s v="UPI Sarah"/>
    <m/>
  </r>
  <r>
    <s v="Sanjit"/>
    <x v="6"/>
    <n v="1"/>
    <n v="55"/>
    <n v="55"/>
    <d v="2026-04-04T00:00:00"/>
    <x v="0"/>
    <s v="✅ Paid in Full "/>
    <s v="Sarah"/>
    <s v="UPI Sarah"/>
    <m/>
  </r>
  <r>
    <s v="Sanjit"/>
    <x v="28"/>
    <n v="2"/>
    <n v="50"/>
    <n v="100"/>
    <d v="2026-04-04T00:00:00"/>
    <x v="0"/>
    <s v="✅ Paid in Full "/>
    <s v="Sarah"/>
    <s v="UPI Sarah"/>
    <m/>
  </r>
  <r>
    <s v="Sanjit"/>
    <x v="23"/>
    <n v="1"/>
    <n v="25"/>
    <n v="25"/>
    <d v="2026-04-04T00:00:00"/>
    <x v="0"/>
    <s v="✅ Paid in Full "/>
    <s v="Sarah"/>
    <s v="UPI Sarah"/>
    <m/>
  </r>
  <r>
    <s v="Sarahs Mom"/>
    <x v="11"/>
    <n v="6"/>
    <n v="25"/>
    <n v="150"/>
    <d v="2026-04-05T00:00:00"/>
    <x v="0"/>
    <s v="✅ Paid in Full "/>
    <s v="Sarah"/>
    <s v="UPI Sarah"/>
    <m/>
  </r>
  <r>
    <s v="Sarahs Mom"/>
    <x v="13"/>
    <n v="6"/>
    <n v="25"/>
    <n v="150"/>
    <d v="2026-04-05T00:00:00"/>
    <x v="0"/>
    <s v="✅ Paid in Full "/>
    <s v="Sarah"/>
    <s v="UPI Sarah"/>
    <m/>
  </r>
  <r>
    <s v="Sarahs Mom"/>
    <x v="15"/>
    <n v="6"/>
    <n v="20"/>
    <n v="120"/>
    <d v="2026-04-05T00:00:00"/>
    <x v="0"/>
    <s v="✅ Paid in Full "/>
    <s v="Sarah"/>
    <s v="UPI Sarah"/>
    <m/>
  </r>
  <r>
    <s v="Sarahs Mom"/>
    <x v="10"/>
    <n v="6"/>
    <n v="25"/>
    <n v="150"/>
    <d v="2026-04-05T00:00:00"/>
    <x v="0"/>
    <s v="✅ Paid in Full "/>
    <s v="Sarah"/>
    <s v="UPI Sarah"/>
    <m/>
  </r>
  <r>
    <s v="Sarahs Mom"/>
    <x v="23"/>
    <n v="6"/>
    <n v="25"/>
    <n v="150"/>
    <d v="2026-04-05T00:00:00"/>
    <x v="0"/>
    <s v="✅ Paid in Full "/>
    <s v="Sarah"/>
    <s v="UPI Sarah"/>
    <m/>
  </r>
  <r>
    <s v="Savios mom"/>
    <x v="8"/>
    <n v="1"/>
    <n v="150"/>
    <n v="150"/>
    <d v="2026-04-05T00:00:00"/>
    <x v="0"/>
    <s v="✅ Paid in Full "/>
    <s v="Sarah"/>
    <s v="UPI Sarah"/>
    <m/>
  </r>
  <r>
    <s v="Seanna"/>
    <x v="12"/>
    <n v="2"/>
    <n v="30"/>
    <n v="60"/>
    <d v="2026-04-05T00:00:00"/>
    <x v="0"/>
    <s v="✅ Paid in Full "/>
    <s v="Sarah"/>
    <s v="UPI Sarah"/>
    <m/>
  </r>
  <r>
    <s v="Seanna"/>
    <x v="13"/>
    <n v="3"/>
    <n v="25"/>
    <n v="75"/>
    <d v="2026-04-05T00:00:00"/>
    <x v="0"/>
    <s v="✅ Paid in Full "/>
    <s v="Sarah"/>
    <s v="UPI Sarah"/>
    <m/>
  </r>
  <r>
    <s v="Seanna"/>
    <x v="10"/>
    <n v="2"/>
    <n v="25"/>
    <n v="50"/>
    <d v="2026-04-05T00:00:00"/>
    <x v="0"/>
    <s v="✅ Paid in Full "/>
    <s v="Sarah"/>
    <s v="UPI Sarah"/>
    <m/>
  </r>
  <r>
    <s v="Seanna"/>
    <x v="11"/>
    <n v="4"/>
    <n v="25"/>
    <n v="100"/>
    <d v="2026-04-05T00:00:00"/>
    <x v="0"/>
    <s v="✅ Paid in Full "/>
    <s v="Sarah"/>
    <s v="UPI Sarah"/>
    <m/>
  </r>
  <r>
    <s v="Seanna"/>
    <x v="15"/>
    <n v="2"/>
    <n v="20"/>
    <n v="40"/>
    <d v="2026-04-05T00:00:00"/>
    <x v="0"/>
    <s v="✅ Paid in Full "/>
    <s v="Sarah"/>
    <s v="UPI Sarah"/>
    <m/>
  </r>
  <r>
    <s v="Seanna"/>
    <x v="23"/>
    <n v="7"/>
    <n v="25"/>
    <n v="175"/>
    <d v="2026-04-05T00:00:00"/>
    <x v="0"/>
    <s v="✅ Paid in Full "/>
    <s v="Sarah"/>
    <s v="UPI Sarah"/>
    <m/>
  </r>
  <r>
    <s v="Sharan "/>
    <x v="10"/>
    <n v="5"/>
    <n v="25"/>
    <n v="125"/>
    <d v="2026-04-04T00:00:00"/>
    <x v="0"/>
    <s v="✅ Paid in Full "/>
    <s v="Sarah"/>
    <s v="UPI Sarah"/>
    <m/>
  </r>
  <r>
    <s v="Sharan "/>
    <x v="5"/>
    <n v="1"/>
    <n v="60"/>
    <n v="60"/>
    <d v="2026-04-04T00:00:00"/>
    <x v="0"/>
    <s v="✅ Paid in Full "/>
    <s v="Sarah"/>
    <s v="UPI Sarah"/>
    <m/>
  </r>
  <r>
    <s v="Sharan "/>
    <x v="7"/>
    <n v="5"/>
    <n v="25"/>
    <n v="125"/>
    <d v="2026-04-04T00:00:00"/>
    <x v="0"/>
    <s v="✅ Paid in Full "/>
    <s v="Sarah"/>
    <s v="UPI Sarah"/>
    <m/>
  </r>
  <r>
    <s v="Sharan "/>
    <x v="4"/>
    <n v="1"/>
    <n v="60"/>
    <n v="60"/>
    <d v="2026-04-04T00:00:00"/>
    <x v="0"/>
    <s v="✅ Paid in Full "/>
    <s v="Sarah"/>
    <s v="UPI Sarah"/>
    <m/>
  </r>
  <r>
    <s v="Sharan "/>
    <x v="11"/>
    <n v="10"/>
    <n v="25"/>
    <n v="250"/>
    <d v="2026-04-04T00:00:00"/>
    <x v="0"/>
    <s v="✅ Paid in Full "/>
    <s v="Sarah"/>
    <s v="UPI Sarah"/>
    <m/>
  </r>
  <r>
    <s v="Shiny"/>
    <x v="12"/>
    <n v="2"/>
    <n v="30"/>
    <n v="60"/>
    <d v="2026-04-02T00:00:00"/>
    <x v="0"/>
    <s v="✅ Paid in Full "/>
    <s v="Sarah"/>
    <s v="UPI Sarah"/>
    <m/>
  </r>
  <r>
    <s v="Shiny"/>
    <x v="19"/>
    <n v="5"/>
    <n v="40"/>
    <n v="200"/>
    <d v="2026-04-02T00:00:00"/>
    <x v="0"/>
    <s v="✅ Paid in Full "/>
    <s v="Sarah"/>
    <s v="UPI Sarah"/>
    <m/>
  </r>
  <r>
    <s v="Shiny"/>
    <x v="8"/>
    <n v="2"/>
    <n v="150"/>
    <n v="300"/>
    <d v="2026-04-02T00:00:00"/>
    <x v="0"/>
    <s v="✅ Paid in Full "/>
    <s v="Sarah"/>
    <s v="UPI Sarah"/>
    <m/>
  </r>
  <r>
    <s v="Shiny"/>
    <x v="9"/>
    <n v="1"/>
    <n v="100"/>
    <n v="100"/>
    <d v="2026-04-02T00:00:00"/>
    <x v="0"/>
    <s v="✅ Paid in Full "/>
    <s v="Sarah"/>
    <s v="UPI Sarah"/>
    <m/>
  </r>
  <r>
    <s v="Shiny"/>
    <x v="14"/>
    <n v="5"/>
    <n v="20"/>
    <n v="100"/>
    <d v="2026-04-02T00:00:00"/>
    <x v="0"/>
    <s v="✅ Paid in Full "/>
    <s v="Sarah"/>
    <s v="UPI Sarah"/>
    <m/>
  </r>
  <r>
    <s v="Shiny"/>
    <x v="23"/>
    <n v="3"/>
    <n v="25"/>
    <n v="75"/>
    <d v="2026-04-02T00:00:00"/>
    <x v="0"/>
    <s v="✅ Paid in Full "/>
    <s v="Sarah"/>
    <s v="UPI Sarah"/>
    <m/>
  </r>
  <r>
    <s v="Shweta Di"/>
    <x v="5"/>
    <n v="1"/>
    <n v="60"/>
    <n v="60"/>
    <d v="2026-04-04T00:00:00"/>
    <x v="0"/>
    <s v="✅ Paid in Full "/>
    <s v="Anna"/>
    <s v="UPI Anna"/>
    <m/>
  </r>
  <r>
    <s v="Shweta Di"/>
    <x v="3"/>
    <n v="1"/>
    <n v="65"/>
    <n v="65"/>
    <d v="2026-04-04T00:00:00"/>
    <x v="0"/>
    <s v="✅ Paid in Full "/>
    <s v="Anna"/>
    <s v="UPI Anna"/>
    <m/>
  </r>
  <r>
    <s v="Shweta Di"/>
    <x v="11"/>
    <n v="2"/>
    <n v="25"/>
    <n v="50"/>
    <d v="2026-04-04T00:00:00"/>
    <x v="0"/>
    <s v="✅ Paid in Full "/>
    <s v="Anna"/>
    <s v="UPI Anna"/>
    <m/>
  </r>
  <r>
    <s v="Shweta Di"/>
    <x v="8"/>
    <n v="2"/>
    <n v="150"/>
    <n v="300"/>
    <d v="2026-04-04T00:00:00"/>
    <x v="0"/>
    <s v="✅ Paid in Full "/>
    <s v="Anna"/>
    <s v="UPI Anna"/>
    <m/>
  </r>
  <r>
    <s v="Shweta Di"/>
    <x v="23"/>
    <n v="2"/>
    <n v="25"/>
    <n v="50"/>
    <d v="2026-04-04T00:00:00"/>
    <x v="0"/>
    <s v="✅ Paid in Full "/>
    <s v="Anna"/>
    <s v="UPI Anna"/>
    <m/>
  </r>
  <r>
    <s v="Shweta Sister"/>
    <x v="12"/>
    <n v="4"/>
    <n v="30"/>
    <n v="120"/>
    <d v="2026-04-04T00:00:00"/>
    <x v="0"/>
    <s v="✅ Paid in Full "/>
    <s v="Anna"/>
    <s v="UPI Anna"/>
    <m/>
  </r>
  <r>
    <s v="Shweta Sister"/>
    <x v="1"/>
    <n v="1"/>
    <n v="40"/>
    <n v="40"/>
    <d v="2026-04-04T00:00:00"/>
    <x v="0"/>
    <s v="✅ Paid in Full "/>
    <s v="Anna"/>
    <s v="UPI Anna"/>
    <m/>
  </r>
  <r>
    <s v="Smita D'Cruz"/>
    <x v="3"/>
    <n v="2"/>
    <n v="65"/>
    <n v="130"/>
    <d v="2026-04-04T00:00:00"/>
    <x v="0"/>
    <s v="✅ Paid in Full "/>
    <s v="Anna"/>
    <s v="UPI Anna"/>
    <m/>
  </r>
  <r>
    <s v="Smita D'Cruz"/>
    <x v="4"/>
    <n v="2"/>
    <n v="60"/>
    <n v="120"/>
    <d v="2026-04-04T00:00:00"/>
    <x v="0"/>
    <s v="✅ Paid in Full "/>
    <s v="Anna"/>
    <s v="UPI Anna"/>
    <m/>
  </r>
  <r>
    <s v="Smita D'Cruz"/>
    <x v="6"/>
    <n v="2"/>
    <n v="55"/>
    <n v="110"/>
    <d v="2026-04-04T00:00:00"/>
    <x v="0"/>
    <s v="✅ Paid in Full "/>
    <s v="Anna"/>
    <s v="UPI Anna"/>
    <m/>
  </r>
  <r>
    <s v="Smita D'Cruz"/>
    <x v="2"/>
    <n v="4"/>
    <n v="55"/>
    <n v="220"/>
    <d v="2026-04-04T00:00:00"/>
    <x v="0"/>
    <s v="✅ Paid in Full "/>
    <s v="Anna"/>
    <s v="UPI Anna"/>
    <m/>
  </r>
  <r>
    <s v="Stanley Uncle"/>
    <x v="9"/>
    <n v="4"/>
    <n v="100"/>
    <n v="400"/>
    <d v="2026-04-05T00:00:00"/>
    <x v="0"/>
    <s v="✅ Paid in Full "/>
    <s v="Anna"/>
    <s v="Cash"/>
    <m/>
  </r>
  <r>
    <s v="Suzana"/>
    <x v="11"/>
    <n v="2"/>
    <n v="25"/>
    <n v="50"/>
    <d v="2026-04-05T00:00:00"/>
    <x v="0"/>
    <s v="✅ Paid in Full "/>
    <s v="Sarah"/>
    <s v="UPI Sarah"/>
    <m/>
  </r>
  <r>
    <s v="Suzana"/>
    <x v="13"/>
    <n v="2"/>
    <n v="25"/>
    <n v="50"/>
    <d v="2026-04-05T00:00:00"/>
    <x v="0"/>
    <s v="✅ Paid in Full "/>
    <s v="Sarah"/>
    <s v="UPI Sarah"/>
    <m/>
  </r>
  <r>
    <s v="Suzana"/>
    <x v="9"/>
    <n v="1"/>
    <n v="100"/>
    <n v="100"/>
    <d v="2026-04-05T00:00:00"/>
    <x v="0"/>
    <s v="✅ Paid in Full "/>
    <s v="Sarah"/>
    <s v="UPI Sarah"/>
    <m/>
  </r>
  <r>
    <s v="Trisha"/>
    <x v="9"/>
    <n v="2"/>
    <n v="100"/>
    <n v="200"/>
    <d v="2026-04-03T00:00:00"/>
    <x v="0"/>
    <s v="✅ Paid in Full "/>
    <s v="Sarah"/>
    <s v="UPI Sarah"/>
    <m/>
  </r>
  <r>
    <s v="Usha Varghese"/>
    <x v="8"/>
    <n v="4"/>
    <n v="150"/>
    <n v="600"/>
    <d v="2026-04-02T00:00:00"/>
    <x v="0"/>
    <s v="✅ Paid in Full "/>
    <s v="Sarah"/>
    <s v="UPI Sarah"/>
    <m/>
  </r>
  <r>
    <s v="Vijaylaxmi"/>
    <x v="8"/>
    <n v="1"/>
    <n v="150"/>
    <n v="150"/>
    <d v="2026-04-03T00:00:00"/>
    <x v="0"/>
    <s v="✅ Paid in Full "/>
    <s v="Anna"/>
    <s v="UPI Anna"/>
    <m/>
  </r>
  <r>
    <s v="Vinay"/>
    <x v="5"/>
    <n v="10"/>
    <n v="60"/>
    <n v="600"/>
    <d v="2026-04-05T00:00:00"/>
    <x v="0"/>
    <s v="✅ Paid in Full "/>
    <s v="Sarah"/>
    <s v="UPI Sarah"/>
    <m/>
  </r>
  <r>
    <s v="Vyashnavi"/>
    <x v="8"/>
    <n v="3"/>
    <n v="150"/>
    <n v="450"/>
    <d v="2026-04-05T00:00:00"/>
    <x v="0"/>
    <s v="✅ Paid in Full "/>
    <s v="Sarah"/>
    <s v="UPI Sarah"/>
    <m/>
  </r>
  <r>
    <s v="Wadiawala Sir "/>
    <x v="19"/>
    <n v="1"/>
    <n v="40"/>
    <n v="40"/>
    <d v="2026-04-04T00:00:00"/>
    <x v="0"/>
    <s v="✅ Paid in Full "/>
    <s v="Anna"/>
    <s v="Cash"/>
    <m/>
  </r>
  <r>
    <s v="Wadiawala Sir "/>
    <x v="1"/>
    <n v="1"/>
    <n v="40"/>
    <n v="40"/>
    <d v="2026-04-04T00:00:00"/>
    <x v="0"/>
    <s v="✅ Paid in Full "/>
    <s v="Anna"/>
    <s v="Cash"/>
    <m/>
  </r>
  <r>
    <s v="Wadiawala Sir "/>
    <x v="8"/>
    <n v="1"/>
    <n v="150"/>
    <n v="150"/>
    <d v="2026-04-04T00:00:00"/>
    <x v="0"/>
    <s v="✅ Paid in Full "/>
    <s v="Anna"/>
    <s v="Cash"/>
    <m/>
  </r>
  <r>
    <s v="Wadiawala Sir "/>
    <x v="20"/>
    <n v="1"/>
    <n v="130"/>
    <n v="130"/>
    <d v="2026-04-04T00:00:00"/>
    <x v="0"/>
    <s v="✅ Paid in Full "/>
    <s v="Anna"/>
    <s v="Cash"/>
    <m/>
  </r>
  <r>
    <s v="Wadiawala Sir "/>
    <x v="27"/>
    <n v="1"/>
    <n v="50"/>
    <n v="50"/>
    <d v="2026-04-04T00:00:00"/>
    <x v="0"/>
    <s v="✅ Paid in Full "/>
    <s v="Anna"/>
    <s v="Cash"/>
    <m/>
  </r>
  <r>
    <s v="Feroz"/>
    <x v="23"/>
    <n v="16"/>
    <n v="25"/>
    <n v="400"/>
    <d v="2026-04-07T00:00:00"/>
    <x v="0"/>
    <s v="✅ Paid in Full "/>
    <s v="Anna"/>
    <s v="UPI Anna"/>
    <m/>
  </r>
  <r>
    <s v="Melvin"/>
    <x v="22"/>
    <n v="6"/>
    <n v="130"/>
    <n v="780"/>
    <d v="2026-04-09T00:00:00"/>
    <x v="0"/>
    <s v="✅ Paid in Full "/>
    <s v="Sarah"/>
    <s v="UPI Sarah"/>
    <m/>
  </r>
  <r>
    <s v="Melvin"/>
    <x v="0"/>
    <n v="8"/>
    <n v="60"/>
    <n v="480"/>
    <d v="2026-04-09T00:00:00"/>
    <x v="0"/>
    <s v="✅ Paid in Full "/>
    <s v="Sarah"/>
    <s v="UPI Sarah"/>
    <m/>
  </r>
  <r>
    <s v="Rachel"/>
    <x v="10"/>
    <n v="2"/>
    <n v="25"/>
    <n v="50"/>
    <d v="2026-04-09T00:00:00"/>
    <x v="0"/>
    <s v="✅ Paid in Full "/>
    <s v="Sarah"/>
    <s v="Cash"/>
    <m/>
  </r>
  <r>
    <s v="Rachel"/>
    <x v="11"/>
    <n v="2"/>
    <n v="25"/>
    <n v="50"/>
    <d v="2026-04-09T00:00:00"/>
    <x v="0"/>
    <s v="✅ Paid in Full "/>
    <s v="Sarah"/>
    <s v="Cash"/>
    <m/>
  </r>
  <r>
    <s v="Rachel"/>
    <x v="13"/>
    <n v="2"/>
    <n v="25"/>
    <n v="50"/>
    <d v="2026-04-09T00:00:00"/>
    <x v="0"/>
    <s v="✅ Paid in Full "/>
    <s v="Sarah"/>
    <s v="Cash"/>
    <m/>
  </r>
  <r>
    <s v="Rachel"/>
    <x v="23"/>
    <n v="2"/>
    <n v="25"/>
    <n v="50"/>
    <d v="2026-04-09T00:00:00"/>
    <x v="0"/>
    <s v="✅ Paid in Full "/>
    <s v="Sarah"/>
    <s v="Cash"/>
    <m/>
  </r>
  <r>
    <s v="Rachel"/>
    <x v="15"/>
    <n v="2"/>
    <n v="20"/>
    <n v="40"/>
    <d v="2026-04-09T00:00:00"/>
    <x v="0"/>
    <s v="✅ Paid in Full "/>
    <s v="Sarah"/>
    <s v="Cash"/>
    <m/>
  </r>
  <r>
    <s v="Rachel"/>
    <x v="12"/>
    <n v="2"/>
    <n v="30"/>
    <n v="60"/>
    <d v="2026-04-09T00:00:00"/>
    <x v="0"/>
    <s v="✅ Paid in Full "/>
    <s v="Sarah"/>
    <s v="Cash"/>
    <m/>
  </r>
  <r>
    <s v="Rohan"/>
    <x v="15"/>
    <n v="5"/>
    <n v="20"/>
    <n v="100"/>
    <d v="2026-04-09T00:00:00"/>
    <x v="0"/>
    <s v="✅ Paid in Full "/>
    <s v="Sarah"/>
    <s v="UPI Sarah"/>
    <m/>
  </r>
  <r>
    <s v="Rohan"/>
    <x v="13"/>
    <n v="5"/>
    <n v="25"/>
    <n v="125"/>
    <d v="2026-04-09T00:00:00"/>
    <x v="0"/>
    <s v="✅ Paid in Full "/>
    <s v="Sarah"/>
    <s v="UPI Sarah"/>
    <m/>
  </r>
  <r>
    <s v="Rohan"/>
    <x v="10"/>
    <n v="10"/>
    <n v="25"/>
    <n v="250"/>
    <d v="2026-04-09T00:00:00"/>
    <x v="0"/>
    <s v="✅ Paid in Full "/>
    <s v="Sarah"/>
    <s v="UPI Sarah"/>
    <m/>
  </r>
  <r>
    <s v="Rohan"/>
    <x v="11"/>
    <n v="5"/>
    <n v="25"/>
    <n v="125"/>
    <d v="2026-04-09T00:00:00"/>
    <x v="0"/>
    <s v="✅ Paid in Full "/>
    <s v="Sarah"/>
    <s v="UPI Sarah"/>
    <m/>
  </r>
  <r>
    <s v="Extra "/>
    <x v="6"/>
    <n v="1"/>
    <n v="55"/>
    <n v="55"/>
    <d v="2026-04-24T00:00:00"/>
    <x v="0"/>
    <s v="✅ Paid in Full "/>
    <s v="Anna"/>
    <s v="Cash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0BF83-84E3-4B00-8356-55B0EC4C268E}" name="PivotTable1" cacheId="1770" applyNumberFormats="0" applyBorderFormats="0" applyFontFormats="0" applyPatternFormats="0" applyAlignmentFormats="0" applyWidthHeightFormats="1" dataCaption="Values" missingCaption="0" updatedVersion="8" minRefreshableVersion="3" colGrandTotals="0" itemPrintTitles="1" createdVersion="8" indent="0" compact="0" compactData="0" multipleFieldFilters="0">
  <location ref="A5:C37" firstHeaderRow="1" firstDataRow="2" firstDataCol="1"/>
  <pivotFields count="11">
    <pivotField compact="0" outline="0" showAll="0"/>
    <pivotField axis="axisRow" compact="0" outline="0" showAll="0" sortType="ascending">
      <items count="31">
        <item x="26"/>
        <item x="0"/>
        <item x="10"/>
        <item x="17"/>
        <item x="5"/>
        <item x="7"/>
        <item x="3"/>
        <item x="12"/>
        <item x="24"/>
        <item x="18"/>
        <item x="25"/>
        <item x="19"/>
        <item x="1"/>
        <item x="20"/>
        <item x="4"/>
        <item x="11"/>
        <item x="8"/>
        <item x="21"/>
        <item x="6"/>
        <item x="13"/>
        <item x="9"/>
        <item x="28"/>
        <item x="15"/>
        <item x="27"/>
        <item x="14"/>
        <item x="29"/>
        <item x="16"/>
        <item x="22"/>
        <item x="2"/>
        <item x="23"/>
        <item t="default"/>
      </items>
    </pivotField>
    <pivotField dataField="1" compact="0" outline="0" showAll="0"/>
    <pivotField compact="0" numFmtId="172" outline="0" showAll="0"/>
    <pivotField compact="0" numFmtId="164" outline="0" showAll="0"/>
    <pivotField compact="0" outline="0" showAll="0"/>
    <pivotField axis="axisCol" compact="0" outline="0" showAll="0" defaultSubtotal="0">
      <items count="6">
        <item x="1"/>
        <item m="1" x="3"/>
        <item m="1" x="4"/>
        <item x="0"/>
        <item m="1" x="5"/>
        <item m="1" x="2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6"/>
  </colFields>
  <colItems count="2">
    <i>
      <x/>
    </i>
    <i>
      <x v="3"/>
    </i>
  </colItems>
  <dataFields count="1">
    <dataField name="Total Quantity " fld="2" baseField="0" baseItem="0"/>
  </dataFields>
  <formats count="43"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grandRow="1" outline="0" collapsedLevelsAreSubtotals="1" fieldPosition="0"/>
    </format>
    <format dxfId="24">
      <pivotArea dataOnly="0" labelOnly="1" grandRow="1" outline="0" fieldPosition="0"/>
    </format>
    <format dxfId="25">
      <pivotArea grandRow="1" outline="0" collapsedLevelsAreSubtotals="1" fieldPosition="0"/>
    </format>
    <format dxfId="26">
      <pivotArea dataOnly="0" labelOnly="1" grandRow="1" outline="0" fieldPosition="0"/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type="origin" dataOnly="0" labelOnly="1" outline="0" fieldPosition="0"/>
    </format>
    <format dxfId="30">
      <pivotArea field="6" type="button" dataOnly="0" labelOnly="1" outline="0" axis="axisCol" fieldPosition="0"/>
    </format>
    <format dxfId="31">
      <pivotArea type="topRight" dataOnly="0" labelOnly="1" outline="0" fieldPosition="0"/>
    </format>
    <format dxfId="32">
      <pivotArea dataOnly="0" labelOnly="1" grandRow="1" outline="0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type="origin" dataOnly="0" labelOnly="1" outline="0" fieldPosition="0"/>
    </format>
    <format dxfId="36">
      <pivotArea field="6" type="button" dataOnly="0" labelOnly="1" outline="0" axis="axisCol" fieldPosition="0"/>
    </format>
    <format dxfId="37">
      <pivotArea type="topRight" dataOnly="0" labelOnly="1" outline="0" fieldPosition="0"/>
    </format>
    <format dxfId="38">
      <pivotArea dataOnly="0" labelOnly="1" grandRow="1" outline="0" fieldPosition="0"/>
    </format>
    <format dxfId="39">
      <pivotArea type="origin" dataOnly="0" labelOnly="1" outline="0" fieldPosition="0"/>
    </format>
    <format dxfId="40">
      <pivotArea field="6" type="button" dataOnly="0" labelOnly="1" outline="0" axis="axisCol" fieldPosition="0"/>
    </format>
    <format dxfId="41">
      <pivotArea type="topRight" dataOnly="0" labelOnly="1" outline="0" fieldPosition="0"/>
    </format>
    <format dxfId="42">
      <pivotArea type="origin" dataOnly="0" labelOnly="1" outline="0" fieldPosition="0"/>
    </format>
    <format dxfId="43">
      <pivotArea field="6" type="button" dataOnly="0" labelOnly="1" outline="0" axis="axisCol" fieldPosition="0"/>
    </format>
    <format dxfId="44">
      <pivotArea type="topRight" dataOnly="0" labelOnly="1" outline="0" fieldPosition="0"/>
    </format>
    <format dxfId="45">
      <pivotArea type="topRight" dataOnly="0" labelOnly="1" outline="0" fieldPosition="0"/>
    </format>
    <format dxfId="46">
      <pivotArea type="origin" dataOnly="0" labelOnly="1" outline="0" fieldPosition="0"/>
    </format>
    <format dxfId="47">
      <pivotArea field="6" type="button" dataOnly="0" labelOnly="1" outline="0" axis="axisCol" fieldPosition="0"/>
    </format>
    <format dxfId="48">
      <pivotArea grandRow="1" outline="0" collapsedLevelsAreSubtotals="1" fieldPosition="0"/>
    </format>
    <format dxfId="49">
      <pivotArea dataOnly="0" labelOnly="1" grandRow="1" outline="0" fieldPosition="0"/>
    </format>
    <format dxfId="50">
      <pivotArea field="1" type="button" dataOnly="0" labelOnly="1" outline="0" axis="axisRow" fieldPosition="0"/>
    </format>
    <format dxfId="51">
      <pivotArea field="6" type="button" dataOnly="0" labelOnly="1" outline="0" axis="axisCol" fieldPosition="0"/>
    </format>
    <format dxfId="52">
      <pivotArea type="origin" dataOnly="0" labelOnly="1" outline="0" fieldPosition="0"/>
    </format>
    <format dxfId="53">
      <pivotArea outline="0" collapsedLevelsAreSubtotals="1" fieldPosition="0"/>
    </format>
    <format dxfId="54">
      <pivotArea dataOnly="0" labelOnly="1" outline="0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56">
      <pivotArea field="1" type="button" dataOnly="0" labelOnly="1" outline="0" axis="axisRow" fieldPosition="0"/>
    </format>
    <format dxfId="57">
      <pivotArea dataOnly="0" labelOnly="1" outline="0" fieldPosition="0">
        <references count="1">
          <reference field="6" count="0"/>
        </references>
      </pivotArea>
    </format>
    <format dxfId="58">
      <pivotArea field="1" type="button" dataOnly="0" labelOnly="1" outline="0" axis="axisRow" fieldPosition="0"/>
    </format>
    <format dxfId="59">
      <pivotArea dataOnly="0" labelOnly="1" outline="0" fieldPosition="0">
        <references count="1">
          <reference field="6" count="0"/>
        </references>
      </pivotArea>
    </format>
    <format dxfId="60">
      <pivotArea field="1" type="button" dataOnly="0" labelOnly="1" outline="0" axis="axisRow" fieldPosition="0"/>
    </format>
    <format dxfId="61">
      <pivotArea dataOnly="0" labelOnly="1" outline="0" fieldPosition="0">
        <references count="1">
          <reference field="6" count="0"/>
        </references>
      </pivotArea>
    </format>
    <format dxfId="62">
      <pivotArea outline="0" fieldPosition="0">
        <references count="1">
          <reference field="6" count="1" selected="0">
            <x v="3"/>
          </reference>
        </references>
      </pivotArea>
    </format>
    <format dxfId="63">
      <pivotArea dataOnly="0" labelOnly="1" outline="0" fieldPosition="0">
        <references count="1">
          <reference field="6" count="1">
            <x v="3"/>
          </reference>
        </references>
      </pivotArea>
    </format>
  </formats>
  <pivotTableStyleInfo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89A8D-5C3F-402A-BA4A-77CC157D9E8C}" name="Easter" displayName="Easter" ref="A5:K352" totalsRowShown="0" headerRowDxfId="20" dataDxfId="19" tableBorderDxfId="18">
  <autoFilter ref="A5:K352" xr:uid="{D3789A8D-5C3F-402A-BA4A-77CC157D9E8C}">
    <filterColumn colId="9">
      <filters>
        <filter val="Cash"/>
      </filters>
    </filterColumn>
  </autoFilter>
  <sortState xmlns:xlrd2="http://schemas.microsoft.com/office/spreadsheetml/2017/richdata2" ref="A6:J338">
    <sortCondition ref="A5:A338"/>
  </sortState>
  <tableColumns count="11">
    <tableColumn id="1" xr3:uid="{3BFC690D-A2B4-4527-8D1B-96B158BCDC67}" name="Name" dataDxfId="17"/>
    <tableColumn id="2" xr3:uid="{35192A08-1718-48CE-8014-AA242E6784C0}" name="Product Name" dataDxfId="16"/>
    <tableColumn id="3" xr3:uid="{656703BF-46F6-40B8-994A-60BF58196016}" name="Quantity " dataDxfId="15"/>
    <tableColumn id="4" xr3:uid="{4CF96FF2-1F37-4B88-B6C0-25F115194B6F}" name="Price (Per Unit ₹)" dataDxfId="14">
      <calculatedColumnFormula>IFERROR(VLOOKUP(Easter[[#This Row],[Product Name]],'Lookup sheet'!$A$1:$D$31,4,FALSE),"")</calculatedColumnFormula>
    </tableColumn>
    <tableColumn id="5" xr3:uid="{9892C9D1-4208-446B-B8B5-CF41A628BC04}" name="Total Payment" dataDxfId="13">
      <calculatedColumnFormula>IFERROR(Easter[[#This Row],[Price (Per Unit ₹)]]*Easter[[#This Row],[Quantity ]],"")</calculatedColumnFormula>
    </tableColumn>
    <tableColumn id="11" xr3:uid="{5232F45E-470B-4675-BF45-66422007AFE6}" name="Delivery Date " dataDxfId="12"/>
    <tableColumn id="6" xr3:uid="{19C079E2-4169-4B55-99EB-2C2E597704F8}" name="Order status " dataDxfId="11"/>
    <tableColumn id="7" xr3:uid="{CBB4A6B4-17FA-46C0-85FC-7DECF18451C7}" name="Payment " dataDxfId="10"/>
    <tableColumn id="8" xr3:uid="{ACCF540C-2A5C-400A-95DF-194C173245EE}" name="Payment Reciever" dataDxfId="9"/>
    <tableColumn id="9" xr3:uid="{FCEC9E45-9472-2C4E-983A-213A05A01B6A}" name="Advance paid" dataDxfId="8"/>
    <tableColumn id="10" xr3:uid="{27C9E9D4-B30F-4BDA-AEC9-A03302B4D2D1}" name="Extra" dataDxfId="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B0BC36-7FA6-4C82-BD34-86F197E5D2C0}" name="Table2" displayName="Table2" ref="G8:H37" totalsRowShown="0" headerRowDxfId="6" dataDxfId="5" headerRowBorderDxfId="3" tableBorderDxfId="4" totalsRowBorderDxfId="2">
  <autoFilter ref="G8:H37" xr:uid="{09B0BC36-7FA6-4C82-BD34-86F197E5D2C0}"/>
  <tableColumns count="2">
    <tableColumn id="1" xr3:uid="{6B0B6B7D-73A5-4AD5-93A0-E02848F77A04}" name="Product" dataDxfId="1"/>
    <tableColumn id="2" xr3:uid="{C56E2E50-F821-4DF4-BD4B-48BE7F1ACF24}" name="Making Cost Per egg " dataDxfId="0">
      <calculatedColumnFormula>VLOOKUP(Table2[[#This Row],[Product]],'Making cost '!$D$2:$O$31,12,FALSE)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E14F-4DC7-4790-86E7-AA2275082990}">
  <sheetPr>
    <tabColor rgb="FF00B050"/>
  </sheetPr>
  <dimension ref="A1:Q352"/>
  <sheetViews>
    <sheetView workbookViewId="0">
      <selection sqref="A1:H2"/>
    </sheetView>
  </sheetViews>
  <sheetFormatPr defaultColWidth="17.7109375" defaultRowHeight="15"/>
  <cols>
    <col min="1" max="1" width="21.85546875" style="7" bestFit="1" customWidth="1"/>
    <col min="2" max="2" width="26.7109375" style="7" bestFit="1" customWidth="1"/>
    <col min="3" max="3" width="14.140625" style="7" customWidth="1"/>
    <col min="4" max="4" width="19.28515625" style="9" customWidth="1"/>
    <col min="5" max="5" width="19.28515625" style="10" customWidth="1"/>
    <col min="6" max="6" width="16.5703125" style="11" customWidth="1"/>
    <col min="7" max="7" width="23.28515625" style="7" bestFit="1" customWidth="1"/>
    <col min="8" max="8" width="24.140625" style="7" customWidth="1"/>
    <col min="9" max="9" width="21.5703125" style="7" customWidth="1"/>
    <col min="10" max="10" width="19" style="7" customWidth="1"/>
    <col min="11" max="16" width="17.7109375" style="7"/>
    <col min="17" max="17" width="31.5703125" style="7" bestFit="1" customWidth="1"/>
    <col min="18" max="16384" width="17.7109375" style="7"/>
  </cols>
  <sheetData>
    <row r="1" spans="1:17" ht="14.45" customHeight="1">
      <c r="A1" s="184" t="s">
        <v>0</v>
      </c>
      <c r="B1" s="184"/>
      <c r="C1" s="184"/>
      <c r="D1" s="184"/>
      <c r="E1" s="184"/>
      <c r="F1" s="184"/>
      <c r="G1" s="184"/>
      <c r="H1" s="184"/>
      <c r="I1" s="181" t="s">
        <v>1</v>
      </c>
      <c r="J1" s="179">
        <f>(SUM(Easter[Total Payment])-'Production Sheet'!$E$38)</f>
        <v>49474.982592592583</v>
      </c>
    </row>
    <row r="2" spans="1:17" ht="14.45" customHeight="1">
      <c r="A2" s="184"/>
      <c r="B2" s="184"/>
      <c r="C2" s="184"/>
      <c r="D2" s="184"/>
      <c r="E2" s="184"/>
      <c r="F2" s="184"/>
      <c r="G2" s="184"/>
      <c r="H2" s="184"/>
      <c r="I2" s="182"/>
      <c r="J2" s="180"/>
      <c r="Q2" s="7" t="s">
        <v>2</v>
      </c>
    </row>
    <row r="3" spans="1:17" ht="15" customHeight="1">
      <c r="A3" s="193" t="s">
        <v>3</v>
      </c>
      <c r="B3" s="194"/>
      <c r="C3" s="189" t="s">
        <v>4</v>
      </c>
      <c r="D3" s="189"/>
      <c r="E3" s="189"/>
      <c r="F3" s="185" t="s">
        <v>5</v>
      </c>
      <c r="G3" s="185"/>
      <c r="H3" s="186"/>
      <c r="I3" s="183" t="s">
        <v>6</v>
      </c>
      <c r="J3" s="177">
        <f>($J$1/SUM(Easter[Total Payment]))</f>
        <v>0.56975853737079041</v>
      </c>
    </row>
    <row r="4" spans="1:17" ht="15.6" customHeight="1">
      <c r="A4" s="191">
        <f>SUBTOTAL(109,Easter[Total Payment])</f>
        <v>15240</v>
      </c>
      <c r="B4" s="192"/>
      <c r="C4" s="190">
        <f>SUBTOTAL(109,Easter[[Quantity ]])</f>
        <v>255</v>
      </c>
      <c r="D4" s="190"/>
      <c r="E4" s="190"/>
      <c r="F4" s="187" cm="1">
        <f t="array" ref="F4">COUNTA(_xlfn.UNIQUE(_xlfn._xlws.FILTER(Easter[Name],Easter[Name]&lt;&gt;"")))</f>
        <v>94</v>
      </c>
      <c r="G4" s="187"/>
      <c r="H4" s="188"/>
      <c r="I4" s="183"/>
      <c r="J4" s="178"/>
      <c r="K4" s="8"/>
    </row>
    <row r="5" spans="1:17">
      <c r="A5" s="12" t="s">
        <v>7</v>
      </c>
      <c r="B5" s="12" t="s">
        <v>8</v>
      </c>
      <c r="C5" s="12" t="s">
        <v>9</v>
      </c>
      <c r="D5" s="13" t="s">
        <v>10</v>
      </c>
      <c r="E5" s="14" t="s">
        <v>11</v>
      </c>
      <c r="F5" s="15" t="s">
        <v>12</v>
      </c>
      <c r="G5" s="12" t="s">
        <v>13</v>
      </c>
      <c r="H5" s="12" t="s">
        <v>14</v>
      </c>
      <c r="I5" s="12" t="s">
        <v>15</v>
      </c>
      <c r="J5" s="12" t="s">
        <v>16</v>
      </c>
      <c r="K5" s="156" t="s">
        <v>17</v>
      </c>
    </row>
    <row r="6" spans="1:17" hidden="1">
      <c r="A6" s="4" t="s">
        <v>18</v>
      </c>
      <c r="B6" s="4" t="s">
        <v>19</v>
      </c>
      <c r="C6" s="4">
        <v>1</v>
      </c>
      <c r="D6" s="71">
        <f>IFERROR(VLOOKUP(Easter[[#This Row],[Product Name]],'Lookup sheet'!$A$1:$D$31,4,FALSE),"")</f>
        <v>60</v>
      </c>
      <c r="E6" s="5">
        <f>IFERROR(Easter[[#This Row],[Price (Per Unit ₹)]]*Easter[[#This Row],[Quantity ]],"")</f>
        <v>60</v>
      </c>
      <c r="F6" s="6">
        <v>46116</v>
      </c>
      <c r="G6" s="25" t="s">
        <v>20</v>
      </c>
      <c r="H6" s="25" t="s">
        <v>21</v>
      </c>
      <c r="I6" s="4" t="s">
        <v>22</v>
      </c>
      <c r="J6" s="4" t="s">
        <v>23</v>
      </c>
      <c r="K6" s="155"/>
    </row>
    <row r="7" spans="1:17" ht="15" hidden="1" customHeight="1">
      <c r="A7" s="4" t="s">
        <v>18</v>
      </c>
      <c r="B7" s="4" t="s">
        <v>24</v>
      </c>
      <c r="C7" s="4">
        <v>2</v>
      </c>
      <c r="D7" s="71">
        <f>IFERROR(VLOOKUP(Easter[[#This Row],[Product Name]],'Lookup sheet'!$A$1:$D$31,4,FALSE),"")</f>
        <v>40</v>
      </c>
      <c r="E7" s="5">
        <f>IFERROR(Easter[[#This Row],[Price (Per Unit ₹)]]*Easter[[#This Row],[Quantity ]],"")</f>
        <v>80</v>
      </c>
      <c r="F7" s="6">
        <v>46116</v>
      </c>
      <c r="G7" s="25" t="s">
        <v>20</v>
      </c>
      <c r="H7" s="25" t="s">
        <v>21</v>
      </c>
      <c r="I7" s="4" t="s">
        <v>22</v>
      </c>
      <c r="J7" s="4" t="s">
        <v>23</v>
      </c>
      <c r="K7" s="155"/>
    </row>
    <row r="8" spans="1:17" hidden="1">
      <c r="A8" s="4" t="s">
        <v>18</v>
      </c>
      <c r="B8" s="4" t="s">
        <v>25</v>
      </c>
      <c r="C8" s="4">
        <v>1</v>
      </c>
      <c r="D8" s="71">
        <f>IFERROR(VLOOKUP(Easter[[#This Row],[Product Name]],'Lookup sheet'!$A$1:$D$31,4,FALSE),"")</f>
        <v>55</v>
      </c>
      <c r="E8" s="5">
        <f>IFERROR(Easter[[#This Row],[Price (Per Unit ₹)]]*Easter[[#This Row],[Quantity ]],"")</f>
        <v>55</v>
      </c>
      <c r="F8" s="6">
        <v>46116</v>
      </c>
      <c r="G8" s="25" t="s">
        <v>20</v>
      </c>
      <c r="H8" s="25" t="s">
        <v>21</v>
      </c>
      <c r="I8" s="4" t="s">
        <v>22</v>
      </c>
      <c r="J8" s="4" t="s">
        <v>23</v>
      </c>
      <c r="K8" s="155"/>
    </row>
    <row r="9" spans="1:17" hidden="1">
      <c r="A9" s="4" t="s">
        <v>26</v>
      </c>
      <c r="B9" s="4" t="s">
        <v>27</v>
      </c>
      <c r="C9" s="4">
        <v>1</v>
      </c>
      <c r="D9" s="71">
        <f>IFERROR(VLOOKUP(Easter[[#This Row],[Product Name]],'Lookup sheet'!$A$1:$D$31,4,FALSE),"")</f>
        <v>65</v>
      </c>
      <c r="E9" s="5">
        <v>65</v>
      </c>
      <c r="F9" s="6">
        <v>46116</v>
      </c>
      <c r="G9" s="25" t="s">
        <v>20</v>
      </c>
      <c r="H9" s="25" t="s">
        <v>21</v>
      </c>
      <c r="I9" s="4" t="s">
        <v>22</v>
      </c>
      <c r="J9" s="4" t="s">
        <v>23</v>
      </c>
      <c r="K9" s="4"/>
    </row>
    <row r="10" spans="1:17" ht="13.5" hidden="1" customHeight="1">
      <c r="A10" s="4" t="s">
        <v>26</v>
      </c>
      <c r="B10" s="4" t="s">
        <v>28</v>
      </c>
      <c r="C10" s="4">
        <v>4</v>
      </c>
      <c r="D10" s="71">
        <f>IFERROR(VLOOKUP(Easter[[#This Row],[Product Name]],'Lookup sheet'!$A$1:$D$31,4,FALSE),"")</f>
        <v>60</v>
      </c>
      <c r="E10" s="5">
        <f>IFERROR(Easter[[#This Row],[Price (Per Unit ₹)]]*Easter[[#This Row],[Quantity ]],"")</f>
        <v>240</v>
      </c>
      <c r="F10" s="6">
        <v>46116</v>
      </c>
      <c r="G10" s="25" t="s">
        <v>20</v>
      </c>
      <c r="H10" s="25" t="s">
        <v>21</v>
      </c>
      <c r="I10" s="4" t="s">
        <v>22</v>
      </c>
      <c r="J10" s="4" t="s">
        <v>23</v>
      </c>
      <c r="K10" s="4"/>
    </row>
    <row r="11" spans="1:17" hidden="1">
      <c r="A11" s="4" t="s">
        <v>26</v>
      </c>
      <c r="B11" s="4" t="s">
        <v>25</v>
      </c>
      <c r="C11" s="4">
        <v>1</v>
      </c>
      <c r="D11" s="71">
        <f>IFERROR(VLOOKUP(Easter[[#This Row],[Product Name]],'Lookup sheet'!$A$1:$D$31,4,FALSE),"")</f>
        <v>55</v>
      </c>
      <c r="E11" s="5">
        <f>IFERROR(Easter[[#This Row],[Price (Per Unit ₹)]]*Easter[[#This Row],[Quantity ]],"")</f>
        <v>55</v>
      </c>
      <c r="F11" s="6">
        <v>46116</v>
      </c>
      <c r="G11" s="25" t="s">
        <v>20</v>
      </c>
      <c r="H11" s="25" t="s">
        <v>21</v>
      </c>
      <c r="I11" s="4" t="s">
        <v>22</v>
      </c>
      <c r="J11" s="4" t="s">
        <v>23</v>
      </c>
      <c r="K11" s="4"/>
    </row>
    <row r="12" spans="1:17" hidden="1">
      <c r="A12" s="4" t="s">
        <v>29</v>
      </c>
      <c r="B12" s="4" t="s">
        <v>30</v>
      </c>
      <c r="C12" s="4">
        <v>2</v>
      </c>
      <c r="D12" s="71">
        <f>IFERROR(VLOOKUP(Easter[[#This Row],[Product Name]],'Lookup sheet'!$A$1:$D$31,4,FALSE),"")</f>
        <v>60</v>
      </c>
      <c r="E12" s="5">
        <f>IFERROR(Easter[[#This Row],[Price (Per Unit ₹)]]*Easter[[#This Row],[Quantity ]],"")</f>
        <v>120</v>
      </c>
      <c r="F12" s="6">
        <v>46116</v>
      </c>
      <c r="G12" s="25" t="s">
        <v>20</v>
      </c>
      <c r="H12" s="4" t="s">
        <v>21</v>
      </c>
      <c r="I12" s="4" t="s">
        <v>22</v>
      </c>
      <c r="J12" s="4" t="s">
        <v>23</v>
      </c>
      <c r="K12" s="4"/>
    </row>
    <row r="13" spans="1:17" hidden="1">
      <c r="A13" s="4" t="s">
        <v>29</v>
      </c>
      <c r="B13" s="4" t="s">
        <v>27</v>
      </c>
      <c r="C13" s="4">
        <v>2</v>
      </c>
      <c r="D13" s="71">
        <f>IFERROR(VLOOKUP(Easter[[#This Row],[Product Name]],'Lookup sheet'!$A$1:$D$31,4,FALSE),"")</f>
        <v>65</v>
      </c>
      <c r="E13" s="5">
        <f>IFERROR(Easter[[#This Row],[Price (Per Unit ₹)]]*Easter[[#This Row],[Quantity ]],"")</f>
        <v>130</v>
      </c>
      <c r="F13" s="6">
        <v>46116</v>
      </c>
      <c r="G13" s="25" t="s">
        <v>20</v>
      </c>
      <c r="H13" s="4" t="s">
        <v>21</v>
      </c>
      <c r="I13" s="4" t="s">
        <v>22</v>
      </c>
      <c r="J13" s="4" t="s">
        <v>23</v>
      </c>
      <c r="K13" s="4"/>
    </row>
    <row r="14" spans="1:17" hidden="1">
      <c r="A14" s="4" t="s">
        <v>29</v>
      </c>
      <c r="B14" s="4" t="s">
        <v>28</v>
      </c>
      <c r="C14" s="4">
        <v>2</v>
      </c>
      <c r="D14" s="71">
        <f>IFERROR(VLOOKUP(Easter[[#This Row],[Product Name]],'Lookup sheet'!$A$1:$D$31,4,FALSE),"")</f>
        <v>60</v>
      </c>
      <c r="E14" s="5">
        <f>IFERROR(Easter[[#This Row],[Price (Per Unit ₹)]]*Easter[[#This Row],[Quantity ]],"")</f>
        <v>120</v>
      </c>
      <c r="F14" s="6">
        <v>46116</v>
      </c>
      <c r="G14" s="25" t="s">
        <v>20</v>
      </c>
      <c r="H14" s="4" t="s">
        <v>21</v>
      </c>
      <c r="I14" s="4" t="s">
        <v>22</v>
      </c>
      <c r="J14" s="4" t="s">
        <v>23</v>
      </c>
      <c r="K14" s="4"/>
    </row>
    <row r="15" spans="1:17" hidden="1">
      <c r="A15" s="4" t="s">
        <v>29</v>
      </c>
      <c r="B15" s="4" t="s">
        <v>31</v>
      </c>
      <c r="C15" s="4">
        <v>2</v>
      </c>
      <c r="D15" s="71">
        <f>IFERROR(VLOOKUP(Easter[[#This Row],[Product Name]],'Lookup sheet'!$A$1:$D$31,4,FALSE),"")</f>
        <v>55</v>
      </c>
      <c r="E15" s="5">
        <f>IFERROR(Easter[[#This Row],[Price (Per Unit ₹)]]*Easter[[#This Row],[Quantity ]],"")</f>
        <v>110</v>
      </c>
      <c r="F15" s="6">
        <v>46116</v>
      </c>
      <c r="G15" s="25" t="s">
        <v>20</v>
      </c>
      <c r="H15" s="4" t="s">
        <v>21</v>
      </c>
      <c r="I15" s="4" t="s">
        <v>22</v>
      </c>
      <c r="J15" s="4" t="s">
        <v>23</v>
      </c>
      <c r="K15" s="4"/>
    </row>
    <row r="16" spans="1:17" hidden="1">
      <c r="A16" s="4" t="s">
        <v>29</v>
      </c>
      <c r="B16" s="4" t="s">
        <v>25</v>
      </c>
      <c r="C16" s="4">
        <v>2</v>
      </c>
      <c r="D16" s="71">
        <f>IFERROR(VLOOKUP(Easter[[#This Row],[Product Name]],'Lookup sheet'!$A$1:$D$31,4,FALSE),"")</f>
        <v>55</v>
      </c>
      <c r="E16" s="5">
        <f>IFERROR(Easter[[#This Row],[Price (Per Unit ₹)]]*Easter[[#This Row],[Quantity ]],"")</f>
        <v>110</v>
      </c>
      <c r="F16" s="6">
        <v>46116</v>
      </c>
      <c r="G16" s="25" t="s">
        <v>20</v>
      </c>
      <c r="H16" s="4" t="s">
        <v>21</v>
      </c>
      <c r="I16" s="4" t="s">
        <v>22</v>
      </c>
      <c r="J16" s="4" t="s">
        <v>23</v>
      </c>
      <c r="K16" s="4"/>
    </row>
    <row r="17" spans="1:11" hidden="1">
      <c r="A17" s="4" t="s">
        <v>32</v>
      </c>
      <c r="B17" s="4" t="s">
        <v>33</v>
      </c>
      <c r="C17" s="4">
        <v>4</v>
      </c>
      <c r="D17" s="33">
        <f>IFERROR(VLOOKUP(Easter[[#This Row],[Product Name]],'Lookup sheet'!$A$1:$D$31,4,FALSE),"")</f>
        <v>25</v>
      </c>
      <c r="E17" s="5">
        <f>IFERROR(Easter[[#This Row],[Price (Per Unit ₹)]]*Easter[[#This Row],[Quantity ]],"")</f>
        <v>100</v>
      </c>
      <c r="F17" s="6">
        <v>46117</v>
      </c>
      <c r="G17" s="25" t="s">
        <v>20</v>
      </c>
      <c r="H17" s="4" t="s">
        <v>21</v>
      </c>
      <c r="I17" s="4" t="s">
        <v>22</v>
      </c>
      <c r="J17" s="4" t="s">
        <v>23</v>
      </c>
      <c r="K17" s="4"/>
    </row>
    <row r="18" spans="1:11">
      <c r="A18" s="4" t="s">
        <v>34</v>
      </c>
      <c r="B18" s="4" t="s">
        <v>35</v>
      </c>
      <c r="C18" s="4">
        <v>1</v>
      </c>
      <c r="D18" s="71">
        <f>IFERROR(VLOOKUP(Easter[[#This Row],[Product Name]],'Lookup sheet'!$A$1:$D$31,4,FALSE),"")</f>
        <v>150</v>
      </c>
      <c r="E18" s="5">
        <f>IFERROR(Easter[[#This Row],[Price (Per Unit ₹)]]*Easter[[#This Row],[Quantity ]],"")</f>
        <v>150</v>
      </c>
      <c r="F18" s="6">
        <v>46115</v>
      </c>
      <c r="G18" s="25" t="s">
        <v>20</v>
      </c>
      <c r="H18" s="25" t="s">
        <v>21</v>
      </c>
      <c r="I18" s="4" t="s">
        <v>22</v>
      </c>
      <c r="J18" s="4" t="s">
        <v>36</v>
      </c>
      <c r="K18" s="4"/>
    </row>
    <row r="19" spans="1:11">
      <c r="A19" s="4" t="s">
        <v>34</v>
      </c>
      <c r="B19" s="4" t="s">
        <v>37</v>
      </c>
      <c r="C19" s="4">
        <v>1</v>
      </c>
      <c r="D19" s="71">
        <f>IFERROR(VLOOKUP(Easter[[#This Row],[Product Name]],'Lookup sheet'!$A$1:$D$31,4,FALSE),"")</f>
        <v>100</v>
      </c>
      <c r="E19" s="5">
        <f>IFERROR(Easter[[#This Row],[Price (Per Unit ₹)]]*Easter[[#This Row],[Quantity ]],"")</f>
        <v>100</v>
      </c>
      <c r="F19" s="6">
        <v>46115</v>
      </c>
      <c r="G19" s="25" t="s">
        <v>20</v>
      </c>
      <c r="H19" s="25" t="s">
        <v>21</v>
      </c>
      <c r="I19" s="4" t="s">
        <v>22</v>
      </c>
      <c r="J19" s="4" t="s">
        <v>36</v>
      </c>
      <c r="K19" s="4"/>
    </row>
    <row r="20" spans="1:11">
      <c r="A20" s="4" t="s">
        <v>38</v>
      </c>
      <c r="B20" s="4" t="s">
        <v>39</v>
      </c>
      <c r="C20" s="4">
        <v>7</v>
      </c>
      <c r="D20" s="33">
        <f>IFERROR(VLOOKUP(Easter[[#This Row],[Product Name]],'Lookup sheet'!$A$1:$D$31,4,FALSE),"")</f>
        <v>25</v>
      </c>
      <c r="E20" s="5">
        <f>IFERROR(Easter[[#This Row],[Price (Per Unit ₹)]]*Easter[[#This Row],[Quantity ]],"")</f>
        <v>175</v>
      </c>
      <c r="F20" s="6">
        <v>46116</v>
      </c>
      <c r="G20" s="25" t="s">
        <v>20</v>
      </c>
      <c r="H20" s="4" t="s">
        <v>21</v>
      </c>
      <c r="I20" s="4" t="s">
        <v>22</v>
      </c>
      <c r="J20" s="4" t="s">
        <v>36</v>
      </c>
      <c r="K20" s="4"/>
    </row>
    <row r="21" spans="1:11">
      <c r="A21" s="4" t="s">
        <v>38</v>
      </c>
      <c r="B21" s="4" t="s">
        <v>33</v>
      </c>
      <c r="C21" s="4">
        <v>7</v>
      </c>
      <c r="D21" s="33">
        <f>IFERROR(VLOOKUP(Easter[[#This Row],[Product Name]],'Lookup sheet'!$A$1:$D$31,4,FALSE),"")</f>
        <v>25</v>
      </c>
      <c r="E21" s="5">
        <f>IFERROR(Easter[[#This Row],[Price (Per Unit ₹)]]*Easter[[#This Row],[Quantity ]],"")</f>
        <v>175</v>
      </c>
      <c r="F21" s="6">
        <v>46116</v>
      </c>
      <c r="G21" s="25" t="s">
        <v>20</v>
      </c>
      <c r="H21" s="4" t="s">
        <v>21</v>
      </c>
      <c r="I21" s="4" t="s">
        <v>22</v>
      </c>
      <c r="J21" s="4" t="s">
        <v>36</v>
      </c>
      <c r="K21" s="4"/>
    </row>
    <row r="22" spans="1:11">
      <c r="A22" s="4" t="s">
        <v>38</v>
      </c>
      <c r="B22" s="4" t="s">
        <v>40</v>
      </c>
      <c r="C22" s="4">
        <v>14</v>
      </c>
      <c r="D22" s="33">
        <f>IFERROR(VLOOKUP(Easter[[#This Row],[Product Name]],'Lookup sheet'!$A$1:$D$31,4,FALSE),"")</f>
        <v>25</v>
      </c>
      <c r="E22" s="5">
        <f>IFERROR(Easter[[#This Row],[Price (Per Unit ₹)]]*Easter[[#This Row],[Quantity ]],"")</f>
        <v>350</v>
      </c>
      <c r="F22" s="6">
        <v>46116</v>
      </c>
      <c r="G22" s="25" t="s">
        <v>20</v>
      </c>
      <c r="H22" s="4" t="s">
        <v>21</v>
      </c>
      <c r="I22" s="4" t="s">
        <v>22</v>
      </c>
      <c r="J22" s="4" t="s">
        <v>36</v>
      </c>
      <c r="K22" s="4"/>
    </row>
    <row r="23" spans="1:11" hidden="1">
      <c r="A23" s="4" t="s">
        <v>41</v>
      </c>
      <c r="B23" s="4" t="s">
        <v>33</v>
      </c>
      <c r="C23" s="4">
        <v>1</v>
      </c>
      <c r="D23" s="33">
        <f>IFERROR(VLOOKUP(Easter[[#This Row],[Product Name]],'Lookup sheet'!$A$1:$D$31,4,FALSE),"")</f>
        <v>25</v>
      </c>
      <c r="E23" s="5">
        <f>IFERROR(Easter[[#This Row],[Price (Per Unit ₹)]]*Easter[[#This Row],[Quantity ]],"")</f>
        <v>25</v>
      </c>
      <c r="F23" s="6">
        <v>46116</v>
      </c>
      <c r="G23" s="25" t="s">
        <v>20</v>
      </c>
      <c r="H23" s="4" t="s">
        <v>21</v>
      </c>
      <c r="I23" s="4" t="s">
        <v>22</v>
      </c>
      <c r="J23" s="4" t="s">
        <v>23</v>
      </c>
      <c r="K23" s="4"/>
    </row>
    <row r="24" spans="1:11" hidden="1">
      <c r="A24" s="4" t="s">
        <v>41</v>
      </c>
      <c r="B24" s="4" t="s">
        <v>42</v>
      </c>
      <c r="C24" s="4">
        <v>1</v>
      </c>
      <c r="D24" s="33">
        <f>IFERROR(VLOOKUP(Easter[[#This Row],[Product Name]],'Lookup sheet'!$A$1:$D$31,4,FALSE),"")</f>
        <v>30</v>
      </c>
      <c r="E24" s="5">
        <f>IFERROR(Easter[[#This Row],[Price (Per Unit ₹)]]*Easter[[#This Row],[Quantity ]],"")</f>
        <v>30</v>
      </c>
      <c r="F24" s="6">
        <v>46116</v>
      </c>
      <c r="G24" s="25" t="s">
        <v>20</v>
      </c>
      <c r="H24" s="4" t="s">
        <v>21</v>
      </c>
      <c r="I24" s="4" t="s">
        <v>22</v>
      </c>
      <c r="J24" s="4" t="s">
        <v>23</v>
      </c>
      <c r="K24" s="4"/>
    </row>
    <row r="25" spans="1:11" hidden="1">
      <c r="A25" s="4" t="s">
        <v>41</v>
      </c>
      <c r="B25" s="4" t="s">
        <v>40</v>
      </c>
      <c r="C25" s="4">
        <v>1</v>
      </c>
      <c r="D25" s="33">
        <f>IFERROR(VLOOKUP(Easter[[#This Row],[Product Name]],'Lookup sheet'!$A$1:$D$31,4,FALSE),"")</f>
        <v>25</v>
      </c>
      <c r="E25" s="5">
        <f>IFERROR(Easter[[#This Row],[Price (Per Unit ₹)]]*Easter[[#This Row],[Quantity ]],"")</f>
        <v>25</v>
      </c>
      <c r="F25" s="6">
        <v>46116</v>
      </c>
      <c r="G25" s="25" t="s">
        <v>20</v>
      </c>
      <c r="H25" s="4" t="s">
        <v>21</v>
      </c>
      <c r="I25" s="4" t="s">
        <v>22</v>
      </c>
      <c r="J25" s="4" t="s">
        <v>23</v>
      </c>
      <c r="K25" s="4"/>
    </row>
    <row r="26" spans="1:11" hidden="1">
      <c r="A26" s="4" t="s">
        <v>41</v>
      </c>
      <c r="B26" s="4" t="s">
        <v>43</v>
      </c>
      <c r="C26" s="4">
        <v>1</v>
      </c>
      <c r="D26" s="33">
        <f>IFERROR(VLOOKUP(Easter[[#This Row],[Product Name]],'Lookup sheet'!$A$1:$D$31,4,FALSE),"")</f>
        <v>25</v>
      </c>
      <c r="E26" s="5">
        <f>IFERROR(Easter[[#This Row],[Price (Per Unit ₹)]]*Easter[[#This Row],[Quantity ]],"")</f>
        <v>25</v>
      </c>
      <c r="F26" s="6">
        <v>46116</v>
      </c>
      <c r="G26" s="25" t="s">
        <v>20</v>
      </c>
      <c r="H26" s="4" t="s">
        <v>21</v>
      </c>
      <c r="I26" s="4" t="s">
        <v>22</v>
      </c>
      <c r="J26" s="4" t="s">
        <v>23</v>
      </c>
      <c r="K26" s="4"/>
    </row>
    <row r="27" spans="1:11" hidden="1">
      <c r="A27" s="4" t="s">
        <v>44</v>
      </c>
      <c r="B27" s="4" t="s">
        <v>35</v>
      </c>
      <c r="C27" s="4">
        <v>6</v>
      </c>
      <c r="D27" s="33">
        <f>IFERROR(VLOOKUP(Easter[[#This Row],[Product Name]],'Lookup sheet'!$A$1:$D$31,4,FALSE),"")</f>
        <v>150</v>
      </c>
      <c r="E27" s="5">
        <f>IFERROR(Easter[[#This Row],[Price (Per Unit ₹)]]*Easter[[#This Row],[Quantity ]],"")</f>
        <v>900</v>
      </c>
      <c r="F27" s="6">
        <v>46116</v>
      </c>
      <c r="G27" s="25" t="s">
        <v>20</v>
      </c>
      <c r="H27" s="4" t="s">
        <v>21</v>
      </c>
      <c r="I27" s="4" t="s">
        <v>45</v>
      </c>
      <c r="J27" s="4" t="s">
        <v>46</v>
      </c>
      <c r="K27" s="4"/>
    </row>
    <row r="28" spans="1:11" hidden="1">
      <c r="A28" s="4" t="s">
        <v>44</v>
      </c>
      <c r="B28" s="4" t="s">
        <v>47</v>
      </c>
      <c r="C28" s="4">
        <v>3</v>
      </c>
      <c r="D28" s="33">
        <f>IFERROR(VLOOKUP(Easter[[#This Row],[Product Name]],'Lookup sheet'!$A$1:$D$31,4,FALSE),"")</f>
        <v>20</v>
      </c>
      <c r="E28" s="5">
        <f>IFERROR(Easter[[#This Row],[Price (Per Unit ₹)]]*Easter[[#This Row],[Quantity ]],"")</f>
        <v>60</v>
      </c>
      <c r="F28" s="6">
        <v>46116</v>
      </c>
      <c r="G28" s="25" t="s">
        <v>20</v>
      </c>
      <c r="H28" s="4" t="s">
        <v>21</v>
      </c>
      <c r="I28" s="4" t="s">
        <v>45</v>
      </c>
      <c r="J28" s="4" t="s">
        <v>46</v>
      </c>
      <c r="K28" s="4"/>
    </row>
    <row r="29" spans="1:11" hidden="1">
      <c r="A29" s="4" t="s">
        <v>48</v>
      </c>
      <c r="B29" s="4" t="s">
        <v>35</v>
      </c>
      <c r="C29" s="4">
        <v>1</v>
      </c>
      <c r="D29" s="71">
        <f>IFERROR(VLOOKUP(Easter[[#This Row],[Product Name]],'Lookup sheet'!$A$1:$D$31,4,FALSE),"")</f>
        <v>150</v>
      </c>
      <c r="E29" s="5">
        <f>IFERROR(Easter[[#This Row],[Price (Per Unit ₹)]]*Easter[[#This Row],[Quantity ]],"")</f>
        <v>150</v>
      </c>
      <c r="F29" s="6">
        <v>46116</v>
      </c>
      <c r="G29" s="25" t="s">
        <v>20</v>
      </c>
      <c r="H29" s="25" t="s">
        <v>21</v>
      </c>
      <c r="I29" s="4" t="s">
        <v>45</v>
      </c>
      <c r="J29" s="4" t="s">
        <v>46</v>
      </c>
      <c r="K29" s="4"/>
    </row>
    <row r="30" spans="1:11">
      <c r="A30" s="4" t="s">
        <v>49</v>
      </c>
      <c r="B30" s="4" t="s">
        <v>43</v>
      </c>
      <c r="C30" s="4">
        <v>5</v>
      </c>
      <c r="D30" s="33">
        <f>IFERROR(VLOOKUP(Easter[[#This Row],[Product Name]],'Lookup sheet'!$A$1:$D$31,4,FALSE),"")</f>
        <v>25</v>
      </c>
      <c r="E30" s="5">
        <f>IFERROR(Easter[[#This Row],[Price (Per Unit ₹)]]*Easter[[#This Row],[Quantity ]],"")</f>
        <v>125</v>
      </c>
      <c r="F30" s="6">
        <v>46112</v>
      </c>
      <c r="G30" s="25" t="s">
        <v>20</v>
      </c>
      <c r="H30" s="4" t="s">
        <v>21</v>
      </c>
      <c r="I30" s="4" t="s">
        <v>45</v>
      </c>
      <c r="J30" s="4" t="s">
        <v>50</v>
      </c>
      <c r="K30" s="4"/>
    </row>
    <row r="31" spans="1:11">
      <c r="A31" s="4" t="s">
        <v>49</v>
      </c>
      <c r="B31" s="4" t="s">
        <v>51</v>
      </c>
      <c r="C31" s="4">
        <v>7</v>
      </c>
      <c r="D31" s="33">
        <f>IFERROR(VLOOKUP(Easter[[#This Row],[Product Name]],'Lookup sheet'!$A$1:$D$31,4,FALSE),"")</f>
        <v>20</v>
      </c>
      <c r="E31" s="5">
        <f>IFERROR(Easter[[#This Row],[Price (Per Unit ₹)]]*Easter[[#This Row],[Quantity ]],"")</f>
        <v>140</v>
      </c>
      <c r="F31" s="6">
        <v>46112</v>
      </c>
      <c r="G31" s="25" t="s">
        <v>20</v>
      </c>
      <c r="H31" s="4" t="s">
        <v>21</v>
      </c>
      <c r="I31" s="4" t="s">
        <v>45</v>
      </c>
      <c r="J31" s="4" t="s">
        <v>50</v>
      </c>
      <c r="K31" s="4"/>
    </row>
    <row r="32" spans="1:11">
      <c r="A32" s="4" t="s">
        <v>49</v>
      </c>
      <c r="B32" s="4" t="s">
        <v>47</v>
      </c>
      <c r="C32" s="4">
        <v>6</v>
      </c>
      <c r="D32" s="33">
        <f>IFERROR(VLOOKUP(Easter[[#This Row],[Product Name]],'Lookup sheet'!$A$1:$D$31,4,FALSE),"")</f>
        <v>20</v>
      </c>
      <c r="E32" s="5">
        <f>IFERROR(Easter[[#This Row],[Price (Per Unit ₹)]]*Easter[[#This Row],[Quantity ]],"")</f>
        <v>120</v>
      </c>
      <c r="F32" s="6">
        <v>46112</v>
      </c>
      <c r="G32" s="25" t="s">
        <v>20</v>
      </c>
      <c r="H32" s="4" t="s">
        <v>21</v>
      </c>
      <c r="I32" s="4" t="s">
        <v>45</v>
      </c>
      <c r="J32" s="4" t="s">
        <v>50</v>
      </c>
      <c r="K32" s="4"/>
    </row>
    <row r="33" spans="1:11">
      <c r="A33" s="4" t="s">
        <v>49</v>
      </c>
      <c r="B33" s="4" t="s">
        <v>52</v>
      </c>
      <c r="C33" s="4">
        <v>6</v>
      </c>
      <c r="D33" s="33">
        <f>IFERROR(VLOOKUP(Easter[[#This Row],[Product Name]],'Lookup sheet'!$A$1:$D$31,4,FALSE),"")</f>
        <v>20</v>
      </c>
      <c r="E33" s="5">
        <f>IFERROR(Easter[[#This Row],[Price (Per Unit ₹)]]*Easter[[#This Row],[Quantity ]],"")</f>
        <v>120</v>
      </c>
      <c r="F33" s="6">
        <v>46112</v>
      </c>
      <c r="G33" s="25" t="s">
        <v>20</v>
      </c>
      <c r="H33" s="4" t="s">
        <v>21</v>
      </c>
      <c r="I33" s="4" t="s">
        <v>45</v>
      </c>
      <c r="J33" s="4" t="s">
        <v>50</v>
      </c>
      <c r="K33" s="4"/>
    </row>
    <row r="34" spans="1:11">
      <c r="A34" s="4" t="s">
        <v>53</v>
      </c>
      <c r="B34" s="4" t="s">
        <v>31</v>
      </c>
      <c r="C34" s="4">
        <v>4</v>
      </c>
      <c r="D34" s="33">
        <f>IFERROR(VLOOKUP(Easter[[#This Row],[Product Name]],'Lookup sheet'!$A$1:$D$31,4,FALSE),"")</f>
        <v>55</v>
      </c>
      <c r="E34" s="5">
        <f>IFERROR(Easter[[#This Row],[Price (Per Unit ₹)]]*Easter[[#This Row],[Quantity ]],"")</f>
        <v>220</v>
      </c>
      <c r="F34" s="6">
        <v>46112</v>
      </c>
      <c r="G34" s="25" t="s">
        <v>20</v>
      </c>
      <c r="H34" s="4" t="s">
        <v>21</v>
      </c>
      <c r="I34" s="4" t="s">
        <v>45</v>
      </c>
      <c r="J34" s="4" t="s">
        <v>50</v>
      </c>
      <c r="K34" s="4"/>
    </row>
    <row r="35" spans="1:11">
      <c r="A35" s="4" t="s">
        <v>53</v>
      </c>
      <c r="B35" s="4" t="s">
        <v>43</v>
      </c>
      <c r="C35" s="4">
        <v>38</v>
      </c>
      <c r="D35" s="33">
        <f>IFERROR(VLOOKUP(Easter[[#This Row],[Product Name]],'Lookup sheet'!$A$1:$D$31,4,FALSE),"")</f>
        <v>25</v>
      </c>
      <c r="E35" s="5">
        <f>IFERROR(Easter[[#This Row],[Price (Per Unit ₹)]]*Easter[[#This Row],[Quantity ]],"")</f>
        <v>950</v>
      </c>
      <c r="F35" s="6">
        <v>46112</v>
      </c>
      <c r="G35" s="25" t="s">
        <v>20</v>
      </c>
      <c r="H35" s="4" t="s">
        <v>21</v>
      </c>
      <c r="I35" s="4" t="s">
        <v>45</v>
      </c>
      <c r="J35" s="4" t="s">
        <v>50</v>
      </c>
      <c r="K35" s="4"/>
    </row>
    <row r="36" spans="1:11">
      <c r="A36" s="4" t="s">
        <v>53</v>
      </c>
      <c r="B36" s="4" t="s">
        <v>25</v>
      </c>
      <c r="C36" s="4">
        <v>22</v>
      </c>
      <c r="D36" s="33">
        <f>IFERROR(VLOOKUP(Easter[[#This Row],[Product Name]],'Lookup sheet'!$A$1:$D$31,4,FALSE),"")</f>
        <v>55</v>
      </c>
      <c r="E36" s="5">
        <f>IFERROR(Easter[[#This Row],[Price (Per Unit ₹)]]*Easter[[#This Row],[Quantity ]],"")</f>
        <v>1210</v>
      </c>
      <c r="F36" s="6">
        <v>46112</v>
      </c>
      <c r="G36" s="25" t="s">
        <v>20</v>
      </c>
      <c r="H36" s="4" t="s">
        <v>21</v>
      </c>
      <c r="I36" s="4" t="s">
        <v>45</v>
      </c>
      <c r="J36" s="4" t="s">
        <v>50</v>
      </c>
      <c r="K36" s="4"/>
    </row>
    <row r="37" spans="1:11" hidden="1">
      <c r="A37" s="4" t="s">
        <v>54</v>
      </c>
      <c r="B37" s="4" t="s">
        <v>55</v>
      </c>
      <c r="C37" s="4">
        <v>1</v>
      </c>
      <c r="D37" s="33">
        <f>IFERROR(VLOOKUP(Easter[[#This Row],[Product Name]],'Lookup sheet'!$A$1:$D$31,4,FALSE),"")</f>
        <v>130</v>
      </c>
      <c r="E37" s="5">
        <f>IFERROR(Easter[[#This Row],[Price (Per Unit ₹)]]*Easter[[#This Row],[Quantity ]],"")</f>
        <v>130</v>
      </c>
      <c r="F37" s="6">
        <v>46115</v>
      </c>
      <c r="G37" s="25" t="s">
        <v>20</v>
      </c>
      <c r="H37" s="4" t="s">
        <v>21</v>
      </c>
      <c r="I37" s="4" t="s">
        <v>22</v>
      </c>
      <c r="J37" s="4" t="s">
        <v>23</v>
      </c>
      <c r="K37" s="4"/>
    </row>
    <row r="38" spans="1:11" hidden="1">
      <c r="A38" s="4" t="s">
        <v>54</v>
      </c>
      <c r="B38" s="4" t="s">
        <v>56</v>
      </c>
      <c r="C38" s="4">
        <v>1</v>
      </c>
      <c r="D38" s="33">
        <f>IFERROR(VLOOKUP(Easter[[#This Row],[Product Name]],'Lookup sheet'!$A$1:$D$31,4,FALSE),"")</f>
        <v>110</v>
      </c>
      <c r="E38" s="5">
        <f>IFERROR(Easter[[#This Row],[Price (Per Unit ₹)]]*Easter[[#This Row],[Quantity ]],"")</f>
        <v>110</v>
      </c>
      <c r="F38" s="6">
        <v>46115</v>
      </c>
      <c r="G38" s="25" t="s">
        <v>20</v>
      </c>
      <c r="H38" s="4" t="s">
        <v>21</v>
      </c>
      <c r="I38" s="4" t="s">
        <v>22</v>
      </c>
      <c r="J38" s="4" t="s">
        <v>23</v>
      </c>
      <c r="K38" s="4"/>
    </row>
    <row r="39" spans="1:11" hidden="1">
      <c r="A39" s="4" t="s">
        <v>54</v>
      </c>
      <c r="B39" s="4" t="s">
        <v>57</v>
      </c>
      <c r="C39" s="4">
        <v>1</v>
      </c>
      <c r="D39" s="33">
        <f>IFERROR(VLOOKUP(Easter[[#This Row],[Product Name]],'Lookup sheet'!$A$1:$D$31,4,FALSE),"")</f>
        <v>40</v>
      </c>
      <c r="E39" s="5">
        <f>IFERROR(Easter[[#This Row],[Price (Per Unit ₹)]]*Easter[[#This Row],[Quantity ]],"")</f>
        <v>40</v>
      </c>
      <c r="F39" s="6">
        <v>46115</v>
      </c>
      <c r="G39" s="25" t="s">
        <v>20</v>
      </c>
      <c r="H39" s="4" t="s">
        <v>21</v>
      </c>
      <c r="I39" s="4" t="s">
        <v>22</v>
      </c>
      <c r="J39" s="4" t="s">
        <v>23</v>
      </c>
      <c r="K39" s="4"/>
    </row>
    <row r="40" spans="1:11" hidden="1">
      <c r="A40" s="4" t="s">
        <v>54</v>
      </c>
      <c r="B40" s="4" t="s">
        <v>58</v>
      </c>
      <c r="C40" s="4">
        <v>1</v>
      </c>
      <c r="D40" s="33">
        <f>IFERROR(VLOOKUP(Easter[[#This Row],[Product Name]],'Lookup sheet'!$A$1:$D$31,4,FALSE),"")</f>
        <v>130</v>
      </c>
      <c r="E40" s="5">
        <f>IFERROR(Easter[[#This Row],[Price (Per Unit ₹)]]*Easter[[#This Row],[Quantity ]],"")</f>
        <v>130</v>
      </c>
      <c r="F40" s="6">
        <v>46115</v>
      </c>
      <c r="G40" s="25" t="s">
        <v>20</v>
      </c>
      <c r="H40" s="4" t="s">
        <v>21</v>
      </c>
      <c r="I40" s="4" t="s">
        <v>22</v>
      </c>
      <c r="J40" s="4" t="s">
        <v>23</v>
      </c>
      <c r="K40" s="4"/>
    </row>
    <row r="41" spans="1:11" hidden="1">
      <c r="A41" s="4" t="s">
        <v>54</v>
      </c>
      <c r="B41" s="4" t="s">
        <v>35</v>
      </c>
      <c r="C41" s="4">
        <v>1</v>
      </c>
      <c r="D41" s="33">
        <f>IFERROR(VLOOKUP(Easter[[#This Row],[Product Name]],'Lookup sheet'!$A$1:$D$31,4,FALSE),"")</f>
        <v>150</v>
      </c>
      <c r="E41" s="5">
        <f>IFERROR(Easter[[#This Row],[Price (Per Unit ₹)]]*Easter[[#This Row],[Quantity ]],"")</f>
        <v>150</v>
      </c>
      <c r="F41" s="6">
        <v>46115</v>
      </c>
      <c r="G41" s="25" t="s">
        <v>20</v>
      </c>
      <c r="H41" s="4" t="s">
        <v>21</v>
      </c>
      <c r="I41" s="4" t="s">
        <v>22</v>
      </c>
      <c r="J41" s="4" t="s">
        <v>23</v>
      </c>
      <c r="K41" s="4"/>
    </row>
    <row r="42" spans="1:11" hidden="1">
      <c r="A42" s="4" t="s">
        <v>54</v>
      </c>
      <c r="B42" s="4" t="s">
        <v>59</v>
      </c>
      <c r="C42" s="4">
        <v>1</v>
      </c>
      <c r="D42" s="33">
        <f>IFERROR(VLOOKUP(Easter[[#This Row],[Product Name]],'Lookup sheet'!$A$1:$D$31,4,FALSE),"")</f>
        <v>130</v>
      </c>
      <c r="E42" s="5">
        <f>IFERROR(Easter[[#This Row],[Price (Per Unit ₹)]]*Easter[[#This Row],[Quantity ]],"")</f>
        <v>130</v>
      </c>
      <c r="F42" s="6">
        <v>46115</v>
      </c>
      <c r="G42" s="25" t="s">
        <v>20</v>
      </c>
      <c r="H42" s="4" t="s">
        <v>21</v>
      </c>
      <c r="I42" s="4" t="s">
        <v>22</v>
      </c>
      <c r="J42" s="4" t="s">
        <v>23</v>
      </c>
      <c r="K42" s="4"/>
    </row>
    <row r="43" spans="1:11" hidden="1">
      <c r="A43" s="4" t="s">
        <v>54</v>
      </c>
      <c r="B43" s="4" t="s">
        <v>37</v>
      </c>
      <c r="C43" s="4">
        <v>1</v>
      </c>
      <c r="D43" s="33">
        <f>IFERROR(VLOOKUP(Easter[[#This Row],[Product Name]],'Lookup sheet'!$A$1:$D$31,4,FALSE),"")</f>
        <v>100</v>
      </c>
      <c r="E43" s="5">
        <f>IFERROR(Easter[[#This Row],[Price (Per Unit ₹)]]*Easter[[#This Row],[Quantity ]],"")</f>
        <v>100</v>
      </c>
      <c r="F43" s="6">
        <v>46115</v>
      </c>
      <c r="G43" s="25" t="s">
        <v>20</v>
      </c>
      <c r="H43" s="4" t="s">
        <v>21</v>
      </c>
      <c r="I43" s="4" t="s">
        <v>22</v>
      </c>
      <c r="J43" s="4" t="s">
        <v>23</v>
      </c>
      <c r="K43" s="4"/>
    </row>
    <row r="44" spans="1:11" hidden="1">
      <c r="A44" s="4" t="s">
        <v>54</v>
      </c>
      <c r="B44" s="4" t="s">
        <v>60</v>
      </c>
      <c r="C44" s="4">
        <v>1</v>
      </c>
      <c r="D44" s="33">
        <f>IFERROR(VLOOKUP(Easter[[#This Row],[Product Name]],'Lookup sheet'!$A$1:$D$31,4,FALSE),"")</f>
        <v>130</v>
      </c>
      <c r="E44" s="5">
        <f>IFERROR(Easter[[#This Row],[Price (Per Unit ₹)]]*Easter[[#This Row],[Quantity ]],"")</f>
        <v>130</v>
      </c>
      <c r="F44" s="6">
        <v>46115</v>
      </c>
      <c r="G44" s="25" t="s">
        <v>20</v>
      </c>
      <c r="H44" s="4" t="s">
        <v>21</v>
      </c>
      <c r="I44" s="4" t="s">
        <v>22</v>
      </c>
      <c r="J44" s="4" t="s">
        <v>23</v>
      </c>
      <c r="K44" s="4"/>
    </row>
    <row r="45" spans="1:11" hidden="1">
      <c r="A45" s="4" t="s">
        <v>61</v>
      </c>
      <c r="B45" s="4" t="s">
        <v>42</v>
      </c>
      <c r="C45" s="4">
        <v>4</v>
      </c>
      <c r="D45" s="33">
        <f>IFERROR(VLOOKUP(Easter[[#This Row],[Product Name]],'Lookup sheet'!$A$1:$D$31,4,FALSE),"")</f>
        <v>30</v>
      </c>
      <c r="E45" s="5">
        <f>IFERROR(Easter[[#This Row],[Price (Per Unit ₹)]]*Easter[[#This Row],[Quantity ]],"")</f>
        <v>120</v>
      </c>
      <c r="F45" s="6">
        <v>46116</v>
      </c>
      <c r="G45" s="25" t="s">
        <v>20</v>
      </c>
      <c r="H45" s="4" t="s">
        <v>21</v>
      </c>
      <c r="I45" s="4" t="s">
        <v>45</v>
      </c>
      <c r="J45" s="4" t="s">
        <v>46</v>
      </c>
      <c r="K45" s="4"/>
    </row>
    <row r="46" spans="1:11" hidden="1">
      <c r="A46" s="4" t="s">
        <v>61</v>
      </c>
      <c r="B46" s="4" t="s">
        <v>35</v>
      </c>
      <c r="C46" s="4">
        <v>1</v>
      </c>
      <c r="D46" s="33">
        <f>IFERROR(VLOOKUP(Easter[[#This Row],[Product Name]],'Lookup sheet'!$A$1:$D$31,4,FALSE),"")</f>
        <v>150</v>
      </c>
      <c r="E46" s="5">
        <f>IFERROR(Easter[[#This Row],[Price (Per Unit ₹)]]*Easter[[#This Row],[Quantity ]],"")</f>
        <v>150</v>
      </c>
      <c r="F46" s="6">
        <v>46116</v>
      </c>
      <c r="G46" s="25" t="s">
        <v>20</v>
      </c>
      <c r="H46" s="4" t="s">
        <v>21</v>
      </c>
      <c r="I46" s="4" t="s">
        <v>45</v>
      </c>
      <c r="J46" s="4" t="s">
        <v>46</v>
      </c>
      <c r="K46" s="4"/>
    </row>
    <row r="47" spans="1:11" hidden="1">
      <c r="A47" s="4" t="s">
        <v>61</v>
      </c>
      <c r="B47" s="4" t="s">
        <v>62</v>
      </c>
      <c r="C47" s="4">
        <v>4</v>
      </c>
      <c r="D47" s="33">
        <f>IFERROR(VLOOKUP(Easter[[#This Row],[Product Name]],'Lookup sheet'!$A$1:$D$31,4,FALSE),"")</f>
        <v>25</v>
      </c>
      <c r="E47" s="5">
        <f>IFERROR(Easter[[#This Row],[Price (Per Unit ₹)]]*Easter[[#This Row],[Quantity ]],"")</f>
        <v>100</v>
      </c>
      <c r="F47" s="6">
        <v>46116</v>
      </c>
      <c r="G47" s="25" t="s">
        <v>20</v>
      </c>
      <c r="H47" s="4" t="s">
        <v>21</v>
      </c>
      <c r="I47" s="4" t="s">
        <v>45</v>
      </c>
      <c r="J47" s="4" t="s">
        <v>46</v>
      </c>
      <c r="K47" s="4"/>
    </row>
    <row r="48" spans="1:11" hidden="1">
      <c r="A48" s="4" t="s">
        <v>63</v>
      </c>
      <c r="B48" s="4" t="s">
        <v>30</v>
      </c>
      <c r="C48" s="4">
        <v>2</v>
      </c>
      <c r="D48" s="33">
        <f>IFERROR(VLOOKUP(Easter[[#This Row],[Product Name]],'Lookup sheet'!$A$1:$D$31,4,FALSE),"")</f>
        <v>60</v>
      </c>
      <c r="E48" s="5">
        <f>IFERROR(Easter[[#This Row],[Price (Per Unit ₹)]]*Easter[[#This Row],[Quantity ]],"")</f>
        <v>120</v>
      </c>
      <c r="F48" s="6">
        <v>46116</v>
      </c>
      <c r="G48" s="25" t="s">
        <v>20</v>
      </c>
      <c r="H48" s="4" t="s">
        <v>21</v>
      </c>
      <c r="I48" s="4" t="s">
        <v>45</v>
      </c>
      <c r="J48" s="144" t="s">
        <v>46</v>
      </c>
      <c r="K48" s="4"/>
    </row>
    <row r="49" spans="1:11" hidden="1">
      <c r="A49" s="4" t="s">
        <v>63</v>
      </c>
      <c r="B49" s="4" t="s">
        <v>27</v>
      </c>
      <c r="C49" s="4">
        <v>1</v>
      </c>
      <c r="D49" s="33">
        <f>IFERROR(VLOOKUP(Easter[[#This Row],[Product Name]],'Lookup sheet'!$A$1:$D$31,4,FALSE),"")</f>
        <v>65</v>
      </c>
      <c r="E49" s="5">
        <f>IFERROR(Easter[[#This Row],[Price (Per Unit ₹)]]*Easter[[#This Row],[Quantity ]],"")</f>
        <v>65</v>
      </c>
      <c r="F49" s="6">
        <v>46116</v>
      </c>
      <c r="G49" s="25" t="s">
        <v>20</v>
      </c>
      <c r="H49" s="4" t="s">
        <v>21</v>
      </c>
      <c r="I49" s="4" t="s">
        <v>22</v>
      </c>
      <c r="J49" s="144" t="s">
        <v>23</v>
      </c>
      <c r="K49" s="4"/>
    </row>
    <row r="50" spans="1:11" hidden="1">
      <c r="A50" s="4" t="s">
        <v>63</v>
      </c>
      <c r="B50" s="4" t="s">
        <v>64</v>
      </c>
      <c r="C50" s="4">
        <v>1</v>
      </c>
      <c r="D50" s="33">
        <f>IFERROR(VLOOKUP(Easter[[#This Row],[Product Name]],'Lookup sheet'!$A$1:$D$31,4,FALSE),"")</f>
        <v>110</v>
      </c>
      <c r="E50" s="5">
        <f>IFERROR(Easter[[#This Row],[Price (Per Unit ₹)]]*Easter[[#This Row],[Quantity ]],"")</f>
        <v>110</v>
      </c>
      <c r="F50" s="6">
        <v>46116</v>
      </c>
      <c r="G50" s="25" t="s">
        <v>20</v>
      </c>
      <c r="H50" s="4" t="s">
        <v>21</v>
      </c>
      <c r="I50" s="4" t="s">
        <v>45</v>
      </c>
      <c r="J50" s="144" t="s">
        <v>46</v>
      </c>
      <c r="K50" s="4"/>
    </row>
    <row r="51" spans="1:11" hidden="1">
      <c r="A51" s="4" t="s">
        <v>63</v>
      </c>
      <c r="B51" s="4" t="s">
        <v>56</v>
      </c>
      <c r="C51" s="4">
        <v>1</v>
      </c>
      <c r="D51" s="33">
        <f>IFERROR(VLOOKUP(Easter[[#This Row],[Product Name]],'Lookup sheet'!$A$1:$D$31,4,FALSE),"")</f>
        <v>110</v>
      </c>
      <c r="E51" s="5">
        <f>IFERROR(Easter[[#This Row],[Price (Per Unit ₹)]]*Easter[[#This Row],[Quantity ]],"")</f>
        <v>110</v>
      </c>
      <c r="F51" s="6">
        <v>46116</v>
      </c>
      <c r="G51" s="25" t="s">
        <v>20</v>
      </c>
      <c r="H51" s="4" t="s">
        <v>21</v>
      </c>
      <c r="I51" s="4" t="s">
        <v>22</v>
      </c>
      <c r="J51" s="144" t="s">
        <v>23</v>
      </c>
      <c r="K51" s="4"/>
    </row>
    <row r="52" spans="1:11" hidden="1">
      <c r="A52" s="4" t="s">
        <v>63</v>
      </c>
      <c r="B52" s="4" t="s">
        <v>65</v>
      </c>
      <c r="C52" s="4">
        <v>2</v>
      </c>
      <c r="D52" s="33">
        <f>IFERROR(VLOOKUP(Easter[[#This Row],[Product Name]],'Lookup sheet'!$A$1:$D$31,4,FALSE),"")</f>
        <v>110</v>
      </c>
      <c r="E52" s="5">
        <f>IFERROR(Easter[[#This Row],[Price (Per Unit ₹)]]*Easter[[#This Row],[Quantity ]],"")</f>
        <v>220</v>
      </c>
      <c r="F52" s="6">
        <v>46116</v>
      </c>
      <c r="G52" s="25" t="s">
        <v>20</v>
      </c>
      <c r="H52" s="4" t="s">
        <v>21</v>
      </c>
      <c r="I52" s="4" t="s">
        <v>45</v>
      </c>
      <c r="J52" s="144" t="s">
        <v>46</v>
      </c>
      <c r="K52" s="4"/>
    </row>
    <row r="53" spans="1:11" hidden="1">
      <c r="A53" s="4" t="s">
        <v>63</v>
      </c>
      <c r="B53" s="4" t="s">
        <v>31</v>
      </c>
      <c r="C53" s="4">
        <v>4</v>
      </c>
      <c r="D53" s="33">
        <f>IFERROR(VLOOKUP(Easter[[#This Row],[Product Name]],'Lookup sheet'!$A$1:$D$31,4,FALSE),"")</f>
        <v>55</v>
      </c>
      <c r="E53" s="5">
        <f>IFERROR(Easter[[#This Row],[Price (Per Unit ₹)]]*Easter[[#This Row],[Quantity ]],"")</f>
        <v>220</v>
      </c>
      <c r="F53" s="6">
        <v>46116</v>
      </c>
      <c r="G53" s="25" t="s">
        <v>20</v>
      </c>
      <c r="H53" s="4" t="s">
        <v>21</v>
      </c>
      <c r="I53" s="4" t="s">
        <v>22</v>
      </c>
      <c r="J53" s="144" t="s">
        <v>23</v>
      </c>
      <c r="K53" s="4"/>
    </row>
    <row r="54" spans="1:11" hidden="1">
      <c r="A54" s="4" t="s">
        <v>63</v>
      </c>
      <c r="B54" s="4" t="s">
        <v>25</v>
      </c>
      <c r="C54" s="4">
        <v>1</v>
      </c>
      <c r="D54" s="33">
        <f>IFERROR(VLOOKUP(Easter[[#This Row],[Product Name]],'Lookup sheet'!$A$1:$D$31,4,FALSE),"")</f>
        <v>55</v>
      </c>
      <c r="E54" s="5">
        <f>IFERROR(Easter[[#This Row],[Price (Per Unit ₹)]]*Easter[[#This Row],[Quantity ]],"")</f>
        <v>55</v>
      </c>
      <c r="F54" s="6">
        <v>46116</v>
      </c>
      <c r="G54" s="25" t="s">
        <v>20</v>
      </c>
      <c r="H54" s="4" t="s">
        <v>21</v>
      </c>
      <c r="I54" s="4" t="s">
        <v>22</v>
      </c>
      <c r="J54" s="4" t="s">
        <v>23</v>
      </c>
      <c r="K54" s="4"/>
    </row>
    <row r="55" spans="1:11" hidden="1">
      <c r="A55" s="4" t="s">
        <v>66</v>
      </c>
      <c r="B55" s="4" t="s">
        <v>55</v>
      </c>
      <c r="C55" s="4">
        <v>1</v>
      </c>
      <c r="D55" s="33">
        <f>IFERROR(VLOOKUP(Easter[[#This Row],[Product Name]],'Lookup sheet'!$A$1:$D$31,4,FALSE),"")</f>
        <v>130</v>
      </c>
      <c r="E55" s="5">
        <f>IFERROR(Easter[[#This Row],[Price (Per Unit ₹)]]*Easter[[#This Row],[Quantity ]],"")</f>
        <v>130</v>
      </c>
      <c r="F55" s="6">
        <v>46115</v>
      </c>
      <c r="G55" s="25" t="s">
        <v>20</v>
      </c>
      <c r="H55" s="4" t="s">
        <v>21</v>
      </c>
      <c r="I55" s="4" t="s">
        <v>22</v>
      </c>
      <c r="J55" s="4" t="s">
        <v>23</v>
      </c>
      <c r="K55" s="4"/>
    </row>
    <row r="56" spans="1:11" hidden="1">
      <c r="A56" s="4" t="s">
        <v>66</v>
      </c>
      <c r="B56" s="4" t="s">
        <v>35</v>
      </c>
      <c r="C56" s="4">
        <v>4</v>
      </c>
      <c r="D56" s="33">
        <f>IFERROR(VLOOKUP(Easter[[#This Row],[Product Name]],'Lookup sheet'!$A$1:$D$31,4,FALSE),"")</f>
        <v>150</v>
      </c>
      <c r="E56" s="5">
        <f>IFERROR(Easter[[#This Row],[Price (Per Unit ₹)]]*Easter[[#This Row],[Quantity ]],"")</f>
        <v>600</v>
      </c>
      <c r="F56" s="6">
        <v>46115</v>
      </c>
      <c r="G56" s="23" t="s">
        <v>20</v>
      </c>
      <c r="H56" s="4" t="s">
        <v>21</v>
      </c>
      <c r="I56" s="4" t="s">
        <v>22</v>
      </c>
      <c r="J56" s="4" t="s">
        <v>23</v>
      </c>
      <c r="K56" s="4"/>
    </row>
    <row r="57" spans="1:11" hidden="1">
      <c r="A57" s="4" t="s">
        <v>66</v>
      </c>
      <c r="B57" s="4" t="s">
        <v>31</v>
      </c>
      <c r="C57" s="4">
        <v>2</v>
      </c>
      <c r="D57" s="33">
        <f>IFERROR(VLOOKUP(Easter[[#This Row],[Product Name]],'Lookup sheet'!$A$1:$D$31,4,FALSE),"")</f>
        <v>55</v>
      </c>
      <c r="E57" s="5">
        <f>IFERROR(Easter[[#This Row],[Price (Per Unit ₹)]]*Easter[[#This Row],[Quantity ]],"")</f>
        <v>110</v>
      </c>
      <c r="F57" s="6">
        <v>46115</v>
      </c>
      <c r="G57" s="25" t="s">
        <v>20</v>
      </c>
      <c r="H57" s="4" t="s">
        <v>21</v>
      </c>
      <c r="I57" s="4" t="s">
        <v>22</v>
      </c>
      <c r="J57" s="4" t="s">
        <v>23</v>
      </c>
      <c r="K57" s="4"/>
    </row>
    <row r="58" spans="1:11" hidden="1">
      <c r="A58" s="4" t="s">
        <v>67</v>
      </c>
      <c r="B58" s="4" t="s">
        <v>30</v>
      </c>
      <c r="C58" s="4">
        <v>2</v>
      </c>
      <c r="D58" s="33">
        <f>IFERROR(VLOOKUP(Easter[[#This Row],[Product Name]],'Lookup sheet'!$A$1:$D$31,4,FALSE),"")</f>
        <v>60</v>
      </c>
      <c r="E58" s="5">
        <f>IFERROR(Easter[[#This Row],[Price (Per Unit ₹)]]*Easter[[#This Row],[Quantity ]],"")</f>
        <v>120</v>
      </c>
      <c r="F58" s="6">
        <v>46115</v>
      </c>
      <c r="G58" s="25" t="s">
        <v>20</v>
      </c>
      <c r="H58" s="4" t="s">
        <v>21</v>
      </c>
      <c r="I58" s="4" t="s">
        <v>45</v>
      </c>
      <c r="J58" s="4" t="s">
        <v>46</v>
      </c>
      <c r="K58" s="4"/>
    </row>
    <row r="59" spans="1:11" hidden="1">
      <c r="A59" s="4" t="s">
        <v>67</v>
      </c>
      <c r="B59" s="4" t="s">
        <v>27</v>
      </c>
      <c r="C59" s="4">
        <v>2</v>
      </c>
      <c r="D59" s="33">
        <f>IFERROR(VLOOKUP(Easter[[#This Row],[Product Name]],'Lookup sheet'!$A$1:$D$31,4,FALSE),"")</f>
        <v>65</v>
      </c>
      <c r="E59" s="5">
        <f>IFERROR(Easter[[#This Row],[Price (Per Unit ₹)]]*Easter[[#This Row],[Quantity ]],"")</f>
        <v>130</v>
      </c>
      <c r="F59" s="6">
        <v>46115</v>
      </c>
      <c r="G59" s="25" t="s">
        <v>20</v>
      </c>
      <c r="H59" s="4" t="s">
        <v>21</v>
      </c>
      <c r="I59" s="4" t="s">
        <v>45</v>
      </c>
      <c r="J59" s="4" t="s">
        <v>46</v>
      </c>
      <c r="K59" s="4"/>
    </row>
    <row r="60" spans="1:11" hidden="1">
      <c r="A60" s="4" t="s">
        <v>67</v>
      </c>
      <c r="B60" s="4" t="s">
        <v>28</v>
      </c>
      <c r="C60" s="4">
        <v>2</v>
      </c>
      <c r="D60" s="33">
        <f>IFERROR(VLOOKUP(Easter[[#This Row],[Product Name]],'Lookup sheet'!$A$1:$D$31,4,FALSE),"")</f>
        <v>60</v>
      </c>
      <c r="E60" s="5">
        <f>IFERROR(Easter[[#This Row],[Price (Per Unit ₹)]]*Easter[[#This Row],[Quantity ]],"")</f>
        <v>120</v>
      </c>
      <c r="F60" s="6">
        <v>46115</v>
      </c>
      <c r="G60" s="25" t="s">
        <v>20</v>
      </c>
      <c r="H60" s="4" t="s">
        <v>21</v>
      </c>
      <c r="I60" s="4" t="s">
        <v>45</v>
      </c>
      <c r="J60" s="4" t="s">
        <v>46</v>
      </c>
      <c r="K60" s="4"/>
    </row>
    <row r="61" spans="1:11" hidden="1">
      <c r="A61" s="4" t="s">
        <v>68</v>
      </c>
      <c r="B61" s="4" t="s">
        <v>69</v>
      </c>
      <c r="C61" s="4">
        <v>1</v>
      </c>
      <c r="D61" s="33">
        <f>IFERROR(VLOOKUP(Easter[[#This Row],[Product Name]],'Lookup sheet'!$A$1:$D$31,4,FALSE),"")</f>
        <v>130</v>
      </c>
      <c r="E61" s="5">
        <f>IFERROR(Easter[[#This Row],[Price (Per Unit ₹)]]*Easter[[#This Row],[Quantity ]],"")</f>
        <v>130</v>
      </c>
      <c r="F61" s="6">
        <v>46108</v>
      </c>
      <c r="G61" s="25" t="s">
        <v>20</v>
      </c>
      <c r="H61" s="4" t="s">
        <v>21</v>
      </c>
      <c r="I61" s="4" t="s">
        <v>45</v>
      </c>
      <c r="J61" s="4" t="s">
        <v>46</v>
      </c>
      <c r="K61" s="4"/>
    </row>
    <row r="62" spans="1:11" hidden="1">
      <c r="A62" s="4" t="s">
        <v>68</v>
      </c>
      <c r="B62" s="4" t="s">
        <v>64</v>
      </c>
      <c r="C62" s="4">
        <v>1</v>
      </c>
      <c r="D62" s="33">
        <f>IFERROR(VLOOKUP(Easter[[#This Row],[Product Name]],'Lookup sheet'!$A$1:$D$31,4,FALSE),"")</f>
        <v>110</v>
      </c>
      <c r="E62" s="5">
        <f>IFERROR(Easter[[#This Row],[Price (Per Unit ₹)]]*Easter[[#This Row],[Quantity ]],"")</f>
        <v>110</v>
      </c>
      <c r="F62" s="6">
        <v>46108</v>
      </c>
      <c r="G62" s="25" t="s">
        <v>20</v>
      </c>
      <c r="H62" s="4" t="s">
        <v>21</v>
      </c>
      <c r="I62" s="4" t="s">
        <v>45</v>
      </c>
      <c r="J62" s="4" t="s">
        <v>46</v>
      </c>
      <c r="K62" s="4"/>
    </row>
    <row r="63" spans="1:11" hidden="1">
      <c r="A63" s="4" t="s">
        <v>68</v>
      </c>
      <c r="B63" s="4" t="s">
        <v>35</v>
      </c>
      <c r="C63" s="4">
        <v>1</v>
      </c>
      <c r="D63" s="33">
        <f>IFERROR(VLOOKUP(Easter[[#This Row],[Product Name]],'Lookup sheet'!$A$1:$D$31,4,FALSE),"")</f>
        <v>150</v>
      </c>
      <c r="E63" s="5">
        <f>IFERROR(Easter[[#This Row],[Price (Per Unit ₹)]]*Easter[[#This Row],[Quantity ]],"")</f>
        <v>150</v>
      </c>
      <c r="F63" s="6">
        <v>46108</v>
      </c>
      <c r="G63" s="25" t="s">
        <v>20</v>
      </c>
      <c r="H63" s="4" t="s">
        <v>21</v>
      </c>
      <c r="I63" s="4" t="s">
        <v>45</v>
      </c>
      <c r="J63" s="4" t="s">
        <v>46</v>
      </c>
      <c r="K63" s="4"/>
    </row>
    <row r="64" spans="1:11" hidden="1">
      <c r="A64" s="4" t="s">
        <v>68</v>
      </c>
      <c r="B64" s="4" t="s">
        <v>59</v>
      </c>
      <c r="C64" s="4">
        <v>1</v>
      </c>
      <c r="D64" s="33">
        <f>IFERROR(VLOOKUP(Easter[[#This Row],[Product Name]],'Lookup sheet'!$A$1:$D$31,4,FALSE),"")</f>
        <v>130</v>
      </c>
      <c r="E64" s="5">
        <f>IFERROR(Easter[[#This Row],[Price (Per Unit ₹)]]*Easter[[#This Row],[Quantity ]],"")</f>
        <v>130</v>
      </c>
      <c r="F64" s="6">
        <v>46108</v>
      </c>
      <c r="G64" s="25" t="s">
        <v>20</v>
      </c>
      <c r="H64" s="4" t="s">
        <v>21</v>
      </c>
      <c r="I64" s="4" t="s">
        <v>45</v>
      </c>
      <c r="J64" s="4" t="s">
        <v>46</v>
      </c>
      <c r="K64" s="4"/>
    </row>
    <row r="65" spans="1:11" hidden="1">
      <c r="A65" s="4" t="s">
        <v>68</v>
      </c>
      <c r="B65" s="4" t="s">
        <v>60</v>
      </c>
      <c r="C65" s="4">
        <v>1</v>
      </c>
      <c r="D65" s="33">
        <f>IFERROR(VLOOKUP(Easter[[#This Row],[Product Name]],'Lookup sheet'!$A$1:$D$31,4,FALSE),"")</f>
        <v>130</v>
      </c>
      <c r="E65" s="5">
        <f>IFERROR(Easter[[#This Row],[Price (Per Unit ₹)]]*Easter[[#This Row],[Quantity ]],"")</f>
        <v>130</v>
      </c>
      <c r="F65" s="6">
        <v>46108</v>
      </c>
      <c r="G65" s="25" t="s">
        <v>20</v>
      </c>
      <c r="H65" s="4" t="s">
        <v>21</v>
      </c>
      <c r="I65" s="4" t="s">
        <v>45</v>
      </c>
      <c r="J65" s="4" t="s">
        <v>46</v>
      </c>
      <c r="K65" s="4"/>
    </row>
    <row r="66" spans="1:11" hidden="1">
      <c r="A66" s="4" t="s">
        <v>68</v>
      </c>
      <c r="B66" s="4" t="s">
        <v>19</v>
      </c>
      <c r="C66" s="4">
        <v>5</v>
      </c>
      <c r="D66" s="71">
        <f>IFERROR(VLOOKUP(Easter[[#This Row],[Product Name]],'Lookup sheet'!$A$1:$D$31,4,FALSE),"")</f>
        <v>60</v>
      </c>
      <c r="E66" s="5">
        <f>IFERROR(Easter[[#This Row],[Price (Per Unit ₹)]]*Easter[[#This Row],[Quantity ]],"")</f>
        <v>300</v>
      </c>
      <c r="F66" s="6">
        <v>46114</v>
      </c>
      <c r="G66" s="25" t="s">
        <v>20</v>
      </c>
      <c r="H66" s="4" t="s">
        <v>21</v>
      </c>
      <c r="I66" s="4" t="s">
        <v>45</v>
      </c>
      <c r="J66" s="4" t="s">
        <v>46</v>
      </c>
      <c r="K66" s="4"/>
    </row>
    <row r="67" spans="1:11" hidden="1">
      <c r="A67" s="4" t="s">
        <v>70</v>
      </c>
      <c r="B67" s="4" t="s">
        <v>57</v>
      </c>
      <c r="C67" s="4">
        <v>5</v>
      </c>
      <c r="D67" s="33">
        <f>IFERROR(VLOOKUP(Easter[[#This Row],[Product Name]],'Lookup sheet'!$A$1:$D$31,4,FALSE),"")</f>
        <v>40</v>
      </c>
      <c r="E67" s="5">
        <f>IFERROR(Easter[[#This Row],[Price (Per Unit ₹)]]*Easter[[#This Row],[Quantity ]],"")</f>
        <v>200</v>
      </c>
      <c r="F67" s="6">
        <v>46116</v>
      </c>
      <c r="G67" s="25" t="s">
        <v>20</v>
      </c>
      <c r="H67" s="4" t="s">
        <v>21</v>
      </c>
      <c r="I67" s="4" t="s">
        <v>22</v>
      </c>
      <c r="J67" s="4" t="s">
        <v>23</v>
      </c>
      <c r="K67" s="4"/>
    </row>
    <row r="68" spans="1:11" hidden="1">
      <c r="A68" s="4" t="s">
        <v>70</v>
      </c>
      <c r="B68" s="4" t="s">
        <v>24</v>
      </c>
      <c r="C68" s="4">
        <v>5</v>
      </c>
      <c r="D68" s="33">
        <f>IFERROR(VLOOKUP(Easter[[#This Row],[Product Name]],'Lookup sheet'!$A$1:$D$31,4,FALSE),"")</f>
        <v>40</v>
      </c>
      <c r="E68" s="5">
        <f>IFERROR(Easter[[#This Row],[Price (Per Unit ₹)]]*Easter[[#This Row],[Quantity ]],"")</f>
        <v>200</v>
      </c>
      <c r="F68" s="6">
        <v>46116</v>
      </c>
      <c r="G68" s="25" t="s">
        <v>20</v>
      </c>
      <c r="H68" s="4" t="s">
        <v>21</v>
      </c>
      <c r="I68" s="4" t="s">
        <v>22</v>
      </c>
      <c r="J68" s="4" t="s">
        <v>23</v>
      </c>
      <c r="K68" s="4"/>
    </row>
    <row r="69" spans="1:11" hidden="1">
      <c r="A69" s="4" t="s">
        <v>70</v>
      </c>
      <c r="B69" s="4" t="s">
        <v>37</v>
      </c>
      <c r="C69" s="4">
        <v>10</v>
      </c>
      <c r="D69" s="33">
        <f>IFERROR(VLOOKUP(Easter[[#This Row],[Product Name]],'Lookup sheet'!$A$1:$D$31,4,FALSE),"")</f>
        <v>100</v>
      </c>
      <c r="E69" s="5">
        <f>IFERROR(Easter[[#This Row],[Price (Per Unit ₹)]]*Easter[[#This Row],[Quantity ]],"")</f>
        <v>1000</v>
      </c>
      <c r="F69" s="6">
        <v>46116</v>
      </c>
      <c r="G69" s="25" t="s">
        <v>20</v>
      </c>
      <c r="H69" s="4" t="s">
        <v>21</v>
      </c>
      <c r="I69" s="4" t="s">
        <v>22</v>
      </c>
      <c r="J69" s="4" t="s">
        <v>23</v>
      </c>
      <c r="K69" s="4"/>
    </row>
    <row r="70" spans="1:11" hidden="1">
      <c r="A70" s="4" t="s">
        <v>71</v>
      </c>
      <c r="B70" s="4" t="s">
        <v>35</v>
      </c>
      <c r="C70" s="4">
        <v>2</v>
      </c>
      <c r="D70" s="33">
        <f>IFERROR(VLOOKUP(Easter[[#This Row],[Product Name]],'Lookup sheet'!$A$1:$D$31,4,FALSE),"")</f>
        <v>150</v>
      </c>
      <c r="E70" s="5">
        <f>IFERROR(Easter[[#This Row],[Price (Per Unit ₹)]]*Easter[[#This Row],[Quantity ]],"")</f>
        <v>300</v>
      </c>
      <c r="F70" s="6">
        <v>46116</v>
      </c>
      <c r="G70" s="25" t="s">
        <v>20</v>
      </c>
      <c r="H70" s="4" t="s">
        <v>21</v>
      </c>
      <c r="I70" s="4" t="s">
        <v>22</v>
      </c>
      <c r="J70" s="4" t="s">
        <v>23</v>
      </c>
      <c r="K70" s="4"/>
    </row>
    <row r="71" spans="1:11" hidden="1">
      <c r="A71" s="4" t="s">
        <v>71</v>
      </c>
      <c r="B71" s="4" t="s">
        <v>37</v>
      </c>
      <c r="C71" s="4">
        <v>4</v>
      </c>
      <c r="D71" s="33">
        <f>IFERROR(VLOOKUP(Easter[[#This Row],[Product Name]],'Lookup sheet'!$A$1:$D$31,4,FALSE),"")</f>
        <v>100</v>
      </c>
      <c r="E71" s="5">
        <f>IFERROR(Easter[[#This Row],[Price (Per Unit ₹)]]*Easter[[#This Row],[Quantity ]],"")</f>
        <v>400</v>
      </c>
      <c r="F71" s="6">
        <v>46116</v>
      </c>
      <c r="G71" s="25" t="s">
        <v>20</v>
      </c>
      <c r="H71" s="4" t="s">
        <v>21</v>
      </c>
      <c r="I71" s="4" t="s">
        <v>22</v>
      </c>
      <c r="J71" s="4" t="s">
        <v>23</v>
      </c>
      <c r="K71" s="4"/>
    </row>
    <row r="72" spans="1:11" hidden="1">
      <c r="A72" s="4" t="s">
        <v>72</v>
      </c>
      <c r="B72" s="4" t="s">
        <v>25</v>
      </c>
      <c r="C72" s="4">
        <v>8</v>
      </c>
      <c r="D72" s="71">
        <f>IFERROR(VLOOKUP(Easter[[#This Row],[Product Name]],'Lookup sheet'!$A$1:$D$31,4,FALSE),"")</f>
        <v>55</v>
      </c>
      <c r="E72" s="5">
        <f>IFERROR(Easter[[#This Row],[Price (Per Unit ₹)]]*Easter[[#This Row],[Quantity ]],"")</f>
        <v>440</v>
      </c>
      <c r="F72" s="6">
        <v>46118</v>
      </c>
      <c r="G72" s="25" t="s">
        <v>20</v>
      </c>
      <c r="H72" s="4" t="s">
        <v>21</v>
      </c>
      <c r="I72" s="4" t="s">
        <v>45</v>
      </c>
      <c r="J72" s="4" t="s">
        <v>46</v>
      </c>
      <c r="K72" s="4"/>
    </row>
    <row r="73" spans="1:11" hidden="1">
      <c r="A73" s="4" t="s">
        <v>73</v>
      </c>
      <c r="B73" s="4" t="s">
        <v>19</v>
      </c>
      <c r="C73" s="4">
        <v>2</v>
      </c>
      <c r="D73" s="71">
        <f>IFERROR(VLOOKUP(Easter[[#This Row],[Product Name]],'Lookup sheet'!$A$1:$D$31,4,FALSE),"")</f>
        <v>60</v>
      </c>
      <c r="E73" s="5">
        <f>IFERROR(Easter[[#This Row],[Price (Per Unit ₹)]]*Easter[[#This Row],[Quantity ]],"")</f>
        <v>120</v>
      </c>
      <c r="F73" s="6">
        <v>46114</v>
      </c>
      <c r="G73" s="25" t="s">
        <v>20</v>
      </c>
      <c r="H73" s="4" t="s">
        <v>21</v>
      </c>
      <c r="I73" s="4" t="s">
        <v>45</v>
      </c>
      <c r="J73" s="4" t="s">
        <v>46</v>
      </c>
      <c r="K73" s="4" t="s">
        <v>74</v>
      </c>
    </row>
    <row r="74" spans="1:11" hidden="1">
      <c r="A74" s="4" t="s">
        <v>73</v>
      </c>
      <c r="B74" s="4" t="s">
        <v>39</v>
      </c>
      <c r="C74" s="4">
        <v>10</v>
      </c>
      <c r="D74" s="71">
        <f>IFERROR(VLOOKUP(Easter[[#This Row],[Product Name]],'Lookup sheet'!$A$1:$D$31,4,FALSE),"")</f>
        <v>25</v>
      </c>
      <c r="E74" s="5">
        <f>IFERROR(Easter[[#This Row],[Price (Per Unit ₹)]]*Easter[[#This Row],[Quantity ]],"")</f>
        <v>250</v>
      </c>
      <c r="F74" s="6">
        <v>46114</v>
      </c>
      <c r="G74" s="25" t="s">
        <v>20</v>
      </c>
      <c r="H74" s="4" t="s">
        <v>21</v>
      </c>
      <c r="I74" s="4" t="s">
        <v>45</v>
      </c>
      <c r="J74" s="4" t="s">
        <v>46</v>
      </c>
      <c r="K74" s="4"/>
    </row>
    <row r="75" spans="1:11" hidden="1">
      <c r="A75" s="4" t="s">
        <v>73</v>
      </c>
      <c r="B75" s="4" t="s">
        <v>56</v>
      </c>
      <c r="C75" s="4">
        <v>5</v>
      </c>
      <c r="D75" s="71">
        <f>IFERROR(VLOOKUP(Easter[[#This Row],[Product Name]],'Lookup sheet'!$A$1:$D$31,4,FALSE),"")</f>
        <v>110</v>
      </c>
      <c r="E75" s="5">
        <f>IFERROR(Easter[[#This Row],[Price (Per Unit ₹)]]*Easter[[#This Row],[Quantity ]],"")</f>
        <v>550</v>
      </c>
      <c r="F75" s="6">
        <v>46114</v>
      </c>
      <c r="G75" s="25" t="s">
        <v>20</v>
      </c>
      <c r="H75" s="4" t="s">
        <v>21</v>
      </c>
      <c r="I75" s="4" t="s">
        <v>45</v>
      </c>
      <c r="J75" s="4" t="s">
        <v>46</v>
      </c>
      <c r="K75" s="4"/>
    </row>
    <row r="76" spans="1:11" hidden="1">
      <c r="A76" s="4" t="s">
        <v>73</v>
      </c>
      <c r="B76" s="4" t="s">
        <v>28</v>
      </c>
      <c r="C76" s="4">
        <v>9</v>
      </c>
      <c r="D76" s="71">
        <f>IFERROR(VLOOKUP(Easter[[#This Row],[Product Name]],'Lookup sheet'!$A$1:$D$31,4,FALSE),"")</f>
        <v>60</v>
      </c>
      <c r="E76" s="5">
        <f>IFERROR(Easter[[#This Row],[Price (Per Unit ₹)]]*Easter[[#This Row],[Quantity ]],"")</f>
        <v>540</v>
      </c>
      <c r="F76" s="6">
        <v>46114</v>
      </c>
      <c r="G76" s="25" t="s">
        <v>20</v>
      </c>
      <c r="H76" s="4" t="s">
        <v>21</v>
      </c>
      <c r="I76" s="4" t="s">
        <v>45</v>
      </c>
      <c r="J76" s="4" t="s">
        <v>46</v>
      </c>
      <c r="K76" s="4"/>
    </row>
    <row r="77" spans="1:11" hidden="1">
      <c r="A77" s="4" t="s">
        <v>73</v>
      </c>
      <c r="B77" s="4" t="s">
        <v>40</v>
      </c>
      <c r="C77" s="4">
        <v>5</v>
      </c>
      <c r="D77" s="71">
        <f>IFERROR(VLOOKUP(Easter[[#This Row],[Product Name]],'Lookup sheet'!$A$1:$D$31,4,FALSE),"")</f>
        <v>25</v>
      </c>
      <c r="E77" s="5">
        <f>IFERROR(Easter[[#This Row],[Price (Per Unit ₹)]]*Easter[[#This Row],[Quantity ]],"")</f>
        <v>125</v>
      </c>
      <c r="F77" s="6">
        <v>46114</v>
      </c>
      <c r="G77" s="25" t="s">
        <v>20</v>
      </c>
      <c r="H77" s="4" t="s">
        <v>21</v>
      </c>
      <c r="I77" s="4" t="s">
        <v>45</v>
      </c>
      <c r="J77" s="4" t="s">
        <v>46</v>
      </c>
      <c r="K77" s="4"/>
    </row>
    <row r="78" spans="1:11" hidden="1">
      <c r="A78" s="4" t="s">
        <v>73</v>
      </c>
      <c r="B78" s="4" t="s">
        <v>35</v>
      </c>
      <c r="C78" s="4">
        <v>2</v>
      </c>
      <c r="D78" s="71">
        <f>IFERROR(VLOOKUP(Easter[[#This Row],[Product Name]],'Lookup sheet'!$A$1:$D$31,4,FALSE),"")</f>
        <v>150</v>
      </c>
      <c r="E78" s="5">
        <f>IFERROR(Easter[[#This Row],[Price (Per Unit ₹)]]*Easter[[#This Row],[Quantity ]],"")</f>
        <v>300</v>
      </c>
      <c r="F78" s="6">
        <v>46114</v>
      </c>
      <c r="G78" s="25" t="s">
        <v>20</v>
      </c>
      <c r="H78" s="4" t="s">
        <v>21</v>
      </c>
      <c r="I78" s="4" t="s">
        <v>45</v>
      </c>
      <c r="J78" s="4" t="s">
        <v>46</v>
      </c>
      <c r="K78" s="4"/>
    </row>
    <row r="79" spans="1:11" hidden="1">
      <c r="A79" s="4" t="s">
        <v>73</v>
      </c>
      <c r="B79" s="4" t="s">
        <v>59</v>
      </c>
      <c r="C79" s="4">
        <v>1</v>
      </c>
      <c r="D79" s="71">
        <f>IFERROR(VLOOKUP(Easter[[#This Row],[Product Name]],'Lookup sheet'!$A$1:$D$31,4,FALSE),"")</f>
        <v>130</v>
      </c>
      <c r="E79" s="5">
        <f>IFERROR(Easter[[#This Row],[Price (Per Unit ₹)]]*Easter[[#This Row],[Quantity ]],"")</f>
        <v>130</v>
      </c>
      <c r="F79" s="6">
        <v>46114</v>
      </c>
      <c r="G79" s="25" t="s">
        <v>20</v>
      </c>
      <c r="H79" s="4" t="s">
        <v>21</v>
      </c>
      <c r="I79" s="4" t="s">
        <v>45</v>
      </c>
      <c r="J79" s="4" t="s">
        <v>46</v>
      </c>
      <c r="K79" s="4"/>
    </row>
    <row r="80" spans="1:11" hidden="1">
      <c r="A80" s="4" t="s">
        <v>73</v>
      </c>
      <c r="B80" s="4" t="s">
        <v>51</v>
      </c>
      <c r="C80" s="4">
        <v>2</v>
      </c>
      <c r="D80" s="71">
        <f>IFERROR(VLOOKUP(Easter[[#This Row],[Product Name]],'Lookup sheet'!$A$1:$D$31,4,FALSE),"")</f>
        <v>20</v>
      </c>
      <c r="E80" s="5">
        <f>IFERROR(Easter[[#This Row],[Price (Per Unit ₹)]]*Easter[[#This Row],[Quantity ]],"")</f>
        <v>40</v>
      </c>
      <c r="F80" s="6">
        <v>46114</v>
      </c>
      <c r="G80" s="25" t="s">
        <v>20</v>
      </c>
      <c r="H80" s="4" t="s">
        <v>21</v>
      </c>
      <c r="I80" s="4" t="s">
        <v>45</v>
      </c>
      <c r="J80" s="4" t="s">
        <v>46</v>
      </c>
      <c r="K80" s="4"/>
    </row>
    <row r="81" spans="1:11" hidden="1">
      <c r="A81" s="4" t="s">
        <v>73</v>
      </c>
      <c r="B81" s="4" t="s">
        <v>75</v>
      </c>
      <c r="C81" s="4">
        <v>5</v>
      </c>
      <c r="D81" s="71">
        <f>IFERROR(VLOOKUP(Easter[[#This Row],[Product Name]],'Lookup sheet'!$A$1:$D$31,4,FALSE),"")</f>
        <v>50</v>
      </c>
      <c r="E81" s="5">
        <f>IFERROR(Easter[[#This Row],[Price (Per Unit ₹)]]*Easter[[#This Row],[Quantity ]],"")</f>
        <v>250</v>
      </c>
      <c r="F81" s="6">
        <v>46114</v>
      </c>
      <c r="G81" s="25" t="s">
        <v>20</v>
      </c>
      <c r="H81" s="4" t="s">
        <v>21</v>
      </c>
      <c r="I81" s="4" t="s">
        <v>45</v>
      </c>
      <c r="J81" s="4" t="s">
        <v>46</v>
      </c>
      <c r="K81" s="4"/>
    </row>
    <row r="82" spans="1:11" hidden="1">
      <c r="A82" s="4" t="s">
        <v>73</v>
      </c>
      <c r="B82" s="4" t="s">
        <v>75</v>
      </c>
      <c r="C82" s="4">
        <v>6</v>
      </c>
      <c r="D82" s="71">
        <f>IFERROR(VLOOKUP(Easter[[#This Row],[Product Name]],'Lookup sheet'!$A$1:$D$31,4,FALSE),"")</f>
        <v>50</v>
      </c>
      <c r="E82" s="5">
        <f>IFERROR(Easter[[#This Row],[Price (Per Unit ₹)]]*Easter[[#This Row],[Quantity ]],"")</f>
        <v>300</v>
      </c>
      <c r="F82" s="6">
        <v>46114</v>
      </c>
      <c r="G82" s="25" t="s">
        <v>20</v>
      </c>
      <c r="H82" s="4" t="s">
        <v>21</v>
      </c>
      <c r="I82" s="4" t="s">
        <v>45</v>
      </c>
      <c r="J82" s="4" t="s">
        <v>46</v>
      </c>
      <c r="K82" s="4"/>
    </row>
    <row r="83" spans="1:11" hidden="1">
      <c r="A83" s="4" t="s">
        <v>73</v>
      </c>
      <c r="B83" s="4" t="s">
        <v>25</v>
      </c>
      <c r="C83" s="4">
        <v>2</v>
      </c>
      <c r="D83" s="71">
        <f>IFERROR(VLOOKUP(Easter[[#This Row],[Product Name]],'Lookup sheet'!$A$1:$D$31,4,FALSE),"")</f>
        <v>55</v>
      </c>
      <c r="E83" s="5">
        <f>IFERROR(Easter[[#This Row],[Price (Per Unit ₹)]]*Easter[[#This Row],[Quantity ]],"")</f>
        <v>110</v>
      </c>
      <c r="F83" s="6">
        <v>46114</v>
      </c>
      <c r="G83" s="25" t="s">
        <v>20</v>
      </c>
      <c r="H83" s="4" t="s">
        <v>21</v>
      </c>
      <c r="I83" s="4" t="s">
        <v>45</v>
      </c>
      <c r="J83" s="4" t="s">
        <v>46</v>
      </c>
      <c r="K83" s="4"/>
    </row>
    <row r="84" spans="1:11" hidden="1">
      <c r="A84" s="4" t="s">
        <v>76</v>
      </c>
      <c r="B84" s="4" t="s">
        <v>39</v>
      </c>
      <c r="C84" s="4">
        <v>35</v>
      </c>
      <c r="D84" s="33">
        <f>IFERROR(VLOOKUP(Easter[[#This Row],[Product Name]],'Lookup sheet'!$A$1:$D$31,4,FALSE),"")</f>
        <v>25</v>
      </c>
      <c r="E84" s="5">
        <f>IFERROR(Easter[[#This Row],[Price (Per Unit ₹)]]*Easter[[#This Row],[Quantity ]],"")</f>
        <v>875</v>
      </c>
      <c r="F84" s="6">
        <v>46117</v>
      </c>
      <c r="G84" s="25" t="s">
        <v>20</v>
      </c>
      <c r="H84" s="4" t="s">
        <v>21</v>
      </c>
      <c r="I84" s="4" t="s">
        <v>45</v>
      </c>
      <c r="J84" s="4" t="s">
        <v>46</v>
      </c>
      <c r="K84" s="4"/>
    </row>
    <row r="85" spans="1:11" ht="16.5" hidden="1" customHeight="1">
      <c r="A85" s="4" t="s">
        <v>76</v>
      </c>
      <c r="B85" s="4" t="s">
        <v>33</v>
      </c>
      <c r="C85" s="4">
        <v>10</v>
      </c>
      <c r="D85" s="33">
        <f>IFERROR(VLOOKUP(Easter[[#This Row],[Product Name]],'Lookup sheet'!$A$1:$D$31,4,FALSE),"")</f>
        <v>25</v>
      </c>
      <c r="E85" s="5">
        <f>IFERROR(Easter[[#This Row],[Price (Per Unit ₹)]]*Easter[[#This Row],[Quantity ]],"")</f>
        <v>250</v>
      </c>
      <c r="F85" s="6">
        <v>46117</v>
      </c>
      <c r="G85" s="25" t="s">
        <v>20</v>
      </c>
      <c r="H85" s="4" t="s">
        <v>21</v>
      </c>
      <c r="I85" s="4" t="s">
        <v>45</v>
      </c>
      <c r="J85" s="4" t="s">
        <v>46</v>
      </c>
      <c r="K85" s="4"/>
    </row>
    <row r="86" spans="1:11" hidden="1">
      <c r="A86" s="4" t="s">
        <v>77</v>
      </c>
      <c r="B86" s="4" t="s">
        <v>19</v>
      </c>
      <c r="C86" s="4">
        <v>22</v>
      </c>
      <c r="D86" s="71">
        <f>IFERROR(VLOOKUP(Easter[[#This Row],[Product Name]],'Lookup sheet'!$A$1:$D$31,4,FALSE),"")</f>
        <v>60</v>
      </c>
      <c r="E86" s="5">
        <f>IFERROR(Easter[[#This Row],[Price (Per Unit ₹)]]*Easter[[#This Row],[Quantity ]],"")</f>
        <v>1320</v>
      </c>
      <c r="F86" s="6">
        <v>46116</v>
      </c>
      <c r="G86" s="25" t="s">
        <v>20</v>
      </c>
      <c r="H86" s="4" t="s">
        <v>21</v>
      </c>
      <c r="I86" s="4" t="s">
        <v>22</v>
      </c>
      <c r="J86" s="4" t="s">
        <v>23</v>
      </c>
      <c r="K86" s="4"/>
    </row>
    <row r="87" spans="1:11" hidden="1">
      <c r="A87" s="4" t="s">
        <v>77</v>
      </c>
      <c r="B87" s="4" t="s">
        <v>31</v>
      </c>
      <c r="C87" s="4">
        <v>2</v>
      </c>
      <c r="D87" s="71">
        <f>IFERROR(VLOOKUP(Easter[[#This Row],[Product Name]],'Lookup sheet'!$A$1:$D$31,4,FALSE),"")</f>
        <v>55</v>
      </c>
      <c r="E87" s="5">
        <f>IFERROR(Easter[[#This Row],[Price (Per Unit ₹)]]*Easter[[#This Row],[Quantity ]],"")</f>
        <v>110</v>
      </c>
      <c r="F87" s="6">
        <v>46116</v>
      </c>
      <c r="G87" s="25" t="s">
        <v>20</v>
      </c>
      <c r="H87" s="4" t="s">
        <v>21</v>
      </c>
      <c r="I87" s="4" t="s">
        <v>22</v>
      </c>
      <c r="J87" s="4" t="s">
        <v>23</v>
      </c>
      <c r="K87" s="4"/>
    </row>
    <row r="88" spans="1:11" hidden="1">
      <c r="A88" s="4" t="s">
        <v>77</v>
      </c>
      <c r="B88" s="4" t="s">
        <v>35</v>
      </c>
      <c r="C88" s="4">
        <v>6</v>
      </c>
      <c r="D88" s="71">
        <f>IFERROR(VLOOKUP(Easter[[#This Row],[Product Name]],'Lookup sheet'!$A$1:$D$31,4,FALSE),"")</f>
        <v>150</v>
      </c>
      <c r="E88" s="5">
        <f>IFERROR(Easter[[#This Row],[Price (Per Unit ₹)]]*Easter[[#This Row],[Quantity ]],"")</f>
        <v>900</v>
      </c>
      <c r="F88" s="6">
        <v>46116</v>
      </c>
      <c r="G88" s="25" t="s">
        <v>20</v>
      </c>
      <c r="H88" s="4" t="s">
        <v>21</v>
      </c>
      <c r="I88" s="4" t="s">
        <v>22</v>
      </c>
      <c r="J88" s="4" t="s">
        <v>23</v>
      </c>
      <c r="K88" s="4"/>
    </row>
    <row r="89" spans="1:11">
      <c r="A89" s="4" t="s">
        <v>78</v>
      </c>
      <c r="B89" s="4" t="s">
        <v>33</v>
      </c>
      <c r="C89" s="4">
        <v>1</v>
      </c>
      <c r="D89" s="71">
        <f>IFERROR(VLOOKUP(Easter[[#This Row],[Product Name]],'Lookup sheet'!$A$1:$D$31,4,FALSE),"")</f>
        <v>25</v>
      </c>
      <c r="E89" s="5">
        <f>IFERROR(Easter[[#This Row],[Price (Per Unit ₹)]]*Easter[[#This Row],[Quantity ]],"")</f>
        <v>25</v>
      </c>
      <c r="F89" s="6">
        <v>46112</v>
      </c>
      <c r="G89" s="25" t="s">
        <v>20</v>
      </c>
      <c r="H89" s="25" t="s">
        <v>21</v>
      </c>
      <c r="I89" s="4" t="s">
        <v>22</v>
      </c>
      <c r="J89" s="4" t="s">
        <v>36</v>
      </c>
      <c r="K89" s="4"/>
    </row>
    <row r="90" spans="1:11">
      <c r="A90" s="4" t="s">
        <v>78</v>
      </c>
      <c r="B90" s="4" t="s">
        <v>42</v>
      </c>
      <c r="C90" s="4">
        <v>1</v>
      </c>
      <c r="D90" s="71">
        <f>IFERROR(VLOOKUP(Easter[[#This Row],[Product Name]],'Lookup sheet'!$A$1:$D$31,4,FALSE),"")</f>
        <v>30</v>
      </c>
      <c r="E90" s="5">
        <f>IFERROR(Easter[[#This Row],[Price (Per Unit ₹)]]*Easter[[#This Row],[Quantity ]],"")</f>
        <v>30</v>
      </c>
      <c r="F90" s="6">
        <v>46112</v>
      </c>
      <c r="G90" s="25" t="s">
        <v>20</v>
      </c>
      <c r="H90" s="25" t="s">
        <v>21</v>
      </c>
      <c r="I90" s="4" t="s">
        <v>22</v>
      </c>
      <c r="J90" s="4" t="s">
        <v>36</v>
      </c>
      <c r="K90" s="4">
        <v>30</v>
      </c>
    </row>
    <row r="91" spans="1:11">
      <c r="A91" s="4" t="s">
        <v>78</v>
      </c>
      <c r="B91" s="4" t="s">
        <v>40</v>
      </c>
      <c r="C91" s="4">
        <v>1</v>
      </c>
      <c r="D91" s="71">
        <f>IFERROR(VLOOKUP(Easter[[#This Row],[Product Name]],'Lookup sheet'!$A$1:$D$31,4,FALSE),"")</f>
        <v>25</v>
      </c>
      <c r="E91" s="5">
        <f>IFERROR(Easter[[#This Row],[Price (Per Unit ₹)]]*Easter[[#This Row],[Quantity ]],"")</f>
        <v>25</v>
      </c>
      <c r="F91" s="6">
        <v>46112</v>
      </c>
      <c r="G91" s="25" t="s">
        <v>20</v>
      </c>
      <c r="H91" s="25" t="s">
        <v>21</v>
      </c>
      <c r="I91" s="4" t="s">
        <v>22</v>
      </c>
      <c r="J91" s="4" t="s">
        <v>36</v>
      </c>
      <c r="K91" s="4"/>
    </row>
    <row r="92" spans="1:11">
      <c r="A92" s="4" t="s">
        <v>78</v>
      </c>
      <c r="B92" s="4" t="s">
        <v>43</v>
      </c>
      <c r="C92" s="4">
        <v>1</v>
      </c>
      <c r="D92" s="71">
        <f>IFERROR(VLOOKUP(Easter[[#This Row],[Product Name]],'Lookup sheet'!$A$1:$D$31,4,FALSE),"")</f>
        <v>25</v>
      </c>
      <c r="E92" s="5">
        <f>IFERROR(Easter[[#This Row],[Price (Per Unit ₹)]]*Easter[[#This Row],[Quantity ]],"")</f>
        <v>25</v>
      </c>
      <c r="F92" s="6">
        <v>46112</v>
      </c>
      <c r="G92" s="25" t="s">
        <v>20</v>
      </c>
      <c r="H92" s="25" t="s">
        <v>21</v>
      </c>
      <c r="I92" s="4" t="s">
        <v>22</v>
      </c>
      <c r="J92" s="4" t="s">
        <v>36</v>
      </c>
      <c r="K92" s="4"/>
    </row>
    <row r="93" spans="1:11">
      <c r="A93" s="4" t="s">
        <v>78</v>
      </c>
      <c r="B93" s="4" t="s">
        <v>47</v>
      </c>
      <c r="C93" s="4">
        <v>1</v>
      </c>
      <c r="D93" s="71">
        <f>IFERROR(VLOOKUP(Easter[[#This Row],[Product Name]],'Lookup sheet'!$A$1:$D$31,4,FALSE),"")</f>
        <v>20</v>
      </c>
      <c r="E93" s="5">
        <f>IFERROR(Easter[[#This Row],[Price (Per Unit ₹)]]*Easter[[#This Row],[Quantity ]],"")</f>
        <v>20</v>
      </c>
      <c r="F93" s="6">
        <v>46112</v>
      </c>
      <c r="G93" s="25" t="s">
        <v>20</v>
      </c>
      <c r="H93" s="25" t="s">
        <v>21</v>
      </c>
      <c r="I93" s="4" t="s">
        <v>22</v>
      </c>
      <c r="J93" s="4" t="s">
        <v>36</v>
      </c>
      <c r="K93" s="4"/>
    </row>
    <row r="94" spans="1:11">
      <c r="A94" s="4" t="s">
        <v>78</v>
      </c>
      <c r="B94" s="4" t="s">
        <v>62</v>
      </c>
      <c r="C94" s="4">
        <v>1</v>
      </c>
      <c r="D94" s="71">
        <f>IFERROR(VLOOKUP(Easter[[#This Row],[Product Name]],'Lookup sheet'!$A$1:$D$31,4,FALSE),"")</f>
        <v>25</v>
      </c>
      <c r="E94" s="5">
        <f>IFERROR(Easter[[#This Row],[Price (Per Unit ₹)]]*Easter[[#This Row],[Quantity ]],"")</f>
        <v>25</v>
      </c>
      <c r="F94" s="6">
        <v>46112</v>
      </c>
      <c r="G94" s="25" t="s">
        <v>20</v>
      </c>
      <c r="H94" s="25" t="s">
        <v>21</v>
      </c>
      <c r="I94" s="4" t="s">
        <v>22</v>
      </c>
      <c r="J94" s="4" t="s">
        <v>36</v>
      </c>
      <c r="K94" s="4"/>
    </row>
    <row r="95" spans="1:11">
      <c r="A95" s="4" t="s">
        <v>78</v>
      </c>
      <c r="B95" s="4" t="s">
        <v>31</v>
      </c>
      <c r="C95" s="4">
        <v>6</v>
      </c>
      <c r="D95" s="71">
        <f>IFERROR(VLOOKUP(Easter[[#This Row],[Product Name]],'Lookup sheet'!$A$1:$D$31,4,FALSE),"")</f>
        <v>55</v>
      </c>
      <c r="E95" s="5">
        <f>IFERROR(Easter[[#This Row],[Price (Per Unit ₹)]]*Easter[[#This Row],[Quantity ]],"")</f>
        <v>330</v>
      </c>
      <c r="F95" s="6">
        <v>46116</v>
      </c>
      <c r="G95" s="25" t="s">
        <v>20</v>
      </c>
      <c r="H95" s="4" t="s">
        <v>21</v>
      </c>
      <c r="I95" s="4" t="s">
        <v>22</v>
      </c>
      <c r="J95" s="4" t="s">
        <v>36</v>
      </c>
      <c r="K95" s="4"/>
    </row>
    <row r="96" spans="1:11">
      <c r="A96" s="4" t="s">
        <v>78</v>
      </c>
      <c r="B96" s="4" t="s">
        <v>37</v>
      </c>
      <c r="C96" s="4">
        <v>12</v>
      </c>
      <c r="D96" s="71">
        <f>IFERROR(VLOOKUP(Easter[[#This Row],[Product Name]],'Lookup sheet'!$A$1:$D$31,4,FALSE),"")</f>
        <v>100</v>
      </c>
      <c r="E96" s="5">
        <f>IFERROR(Easter[[#This Row],[Price (Per Unit ₹)]]*Easter[[#This Row],[Quantity ]],"")</f>
        <v>1200</v>
      </c>
      <c r="F96" s="6">
        <v>46116</v>
      </c>
      <c r="G96" s="25" t="s">
        <v>20</v>
      </c>
      <c r="H96" s="4" t="s">
        <v>21</v>
      </c>
      <c r="I96" s="4" t="s">
        <v>22</v>
      </c>
      <c r="J96" s="4" t="s">
        <v>36</v>
      </c>
      <c r="K96" s="4"/>
    </row>
    <row r="97" spans="1:11">
      <c r="A97" s="4" t="s">
        <v>78</v>
      </c>
      <c r="B97" s="4" t="s">
        <v>60</v>
      </c>
      <c r="C97" s="4">
        <v>3</v>
      </c>
      <c r="D97" s="71">
        <f>IFERROR(VLOOKUP(Easter[[#This Row],[Product Name]],'Lookup sheet'!$A$1:$D$31,4,FALSE),"")</f>
        <v>130</v>
      </c>
      <c r="E97" s="5">
        <f>IFERROR(Easter[[#This Row],[Price (Per Unit ₹)]]*Easter[[#This Row],[Quantity ]],"")</f>
        <v>390</v>
      </c>
      <c r="F97" s="6">
        <v>46116</v>
      </c>
      <c r="G97" s="25" t="s">
        <v>20</v>
      </c>
      <c r="H97" s="23" t="s">
        <v>21</v>
      </c>
      <c r="I97" s="4" t="s">
        <v>22</v>
      </c>
      <c r="J97" s="4" t="s">
        <v>36</v>
      </c>
      <c r="K97" s="4"/>
    </row>
    <row r="98" spans="1:11" hidden="1">
      <c r="A98" s="4" t="s">
        <v>79</v>
      </c>
      <c r="B98" s="4" t="s">
        <v>24</v>
      </c>
      <c r="C98" s="4">
        <v>5</v>
      </c>
      <c r="D98" s="71">
        <f>IFERROR(VLOOKUP(Easter[[#This Row],[Product Name]],'Lookup sheet'!$A$1:$D$31,4,FALSE),"")</f>
        <v>40</v>
      </c>
      <c r="E98" s="5">
        <f>IFERROR(Easter[[#This Row],[Price (Per Unit ₹)]]*Easter[[#This Row],[Quantity ]],"")</f>
        <v>200</v>
      </c>
      <c r="F98" s="6">
        <v>46117</v>
      </c>
      <c r="G98" s="25" t="s">
        <v>20</v>
      </c>
      <c r="H98" s="25" t="s">
        <v>21</v>
      </c>
      <c r="I98" s="4" t="s">
        <v>22</v>
      </c>
      <c r="J98" s="4" t="s">
        <v>23</v>
      </c>
      <c r="K98" s="4"/>
    </row>
    <row r="99" spans="1:11">
      <c r="A99" s="4" t="s">
        <v>80</v>
      </c>
      <c r="B99" s="4" t="s">
        <v>42</v>
      </c>
      <c r="C99" s="4">
        <v>1</v>
      </c>
      <c r="D99" s="33">
        <f>IFERROR(VLOOKUP(Easter[[#This Row],[Product Name]],'Lookup sheet'!$A$1:$D$31,4,FALSE),"")</f>
        <v>30</v>
      </c>
      <c r="E99" s="5">
        <f>IFERROR(Easter[[#This Row],[Price (Per Unit ₹)]]*Easter[[#This Row],[Quantity ]],"")</f>
        <v>30</v>
      </c>
      <c r="F99" s="6">
        <v>46114</v>
      </c>
      <c r="G99" s="25" t="s">
        <v>20</v>
      </c>
      <c r="H99" s="25" t="s">
        <v>21</v>
      </c>
      <c r="I99" s="4" t="s">
        <v>22</v>
      </c>
      <c r="J99" s="4" t="s">
        <v>36</v>
      </c>
      <c r="K99" s="4"/>
    </row>
    <row r="100" spans="1:11">
      <c r="A100" s="4" t="s">
        <v>80</v>
      </c>
      <c r="B100" s="4" t="s">
        <v>35</v>
      </c>
      <c r="C100" s="4">
        <v>1</v>
      </c>
      <c r="D100" s="33">
        <f>IFERROR(VLOOKUP(Easter[[#This Row],[Product Name]],'Lookup sheet'!$A$1:$D$31,4,FALSE),"")</f>
        <v>150</v>
      </c>
      <c r="E100" s="5">
        <f>IFERROR(Easter[[#This Row],[Price (Per Unit ₹)]]*Easter[[#This Row],[Quantity ]],"")</f>
        <v>150</v>
      </c>
      <c r="F100" s="6">
        <v>46114</v>
      </c>
      <c r="G100" s="25" t="s">
        <v>20</v>
      </c>
      <c r="H100" s="25" t="s">
        <v>21</v>
      </c>
      <c r="I100" s="4" t="s">
        <v>22</v>
      </c>
      <c r="J100" s="4" t="s">
        <v>36</v>
      </c>
      <c r="K100" s="4"/>
    </row>
    <row r="101" spans="1:11">
      <c r="A101" s="4" t="s">
        <v>80</v>
      </c>
      <c r="B101" s="4" t="s">
        <v>43</v>
      </c>
      <c r="C101" s="4">
        <v>1</v>
      </c>
      <c r="D101" s="33">
        <f>IFERROR(VLOOKUP(Easter[[#This Row],[Product Name]],'Lookup sheet'!$A$1:$D$31,4,FALSE),"")</f>
        <v>25</v>
      </c>
      <c r="E101" s="5">
        <f>IFERROR(Easter[[#This Row],[Price (Per Unit ₹)]]*Easter[[#This Row],[Quantity ]],"")</f>
        <v>25</v>
      </c>
      <c r="F101" s="6">
        <v>46114</v>
      </c>
      <c r="G101" s="25" t="s">
        <v>20</v>
      </c>
      <c r="H101" s="25" t="s">
        <v>21</v>
      </c>
      <c r="I101" s="4" t="s">
        <v>22</v>
      </c>
      <c r="J101" s="4" t="s">
        <v>36</v>
      </c>
      <c r="K101" s="4"/>
    </row>
    <row r="102" spans="1:11">
      <c r="A102" s="4" t="s">
        <v>80</v>
      </c>
      <c r="B102" s="4" t="s">
        <v>47</v>
      </c>
      <c r="C102" s="4">
        <v>1</v>
      </c>
      <c r="D102" s="33">
        <f>IFERROR(VLOOKUP(Easter[[#This Row],[Product Name]],'Lookup sheet'!$A$1:$D$31,4,FALSE),"")</f>
        <v>20</v>
      </c>
      <c r="E102" s="5">
        <f>IFERROR(Easter[[#This Row],[Price (Per Unit ₹)]]*Easter[[#This Row],[Quantity ]],"")</f>
        <v>20</v>
      </c>
      <c r="F102" s="6">
        <v>46114</v>
      </c>
      <c r="G102" s="25" t="s">
        <v>20</v>
      </c>
      <c r="H102" s="25" t="s">
        <v>21</v>
      </c>
      <c r="I102" s="4" t="s">
        <v>22</v>
      </c>
      <c r="J102" s="4" t="s">
        <v>36</v>
      </c>
      <c r="K102" s="4"/>
    </row>
    <row r="103" spans="1:11">
      <c r="A103" s="4" t="s">
        <v>80</v>
      </c>
      <c r="B103" s="4" t="s">
        <v>62</v>
      </c>
      <c r="C103" s="4">
        <v>1</v>
      </c>
      <c r="D103" s="33">
        <f>IFERROR(VLOOKUP(Easter[[#This Row],[Product Name]],'Lookup sheet'!$A$1:$D$31,4,FALSE),"")</f>
        <v>25</v>
      </c>
      <c r="E103" s="5">
        <f>IFERROR(Easter[[#This Row],[Price (Per Unit ₹)]]*Easter[[#This Row],[Quantity ]],"")</f>
        <v>25</v>
      </c>
      <c r="F103" s="6">
        <v>46114</v>
      </c>
      <c r="G103" s="25" t="s">
        <v>20</v>
      </c>
      <c r="H103" s="25" t="s">
        <v>21</v>
      </c>
      <c r="I103" s="4" t="s">
        <v>22</v>
      </c>
      <c r="J103" s="4" t="s">
        <v>36</v>
      </c>
      <c r="K103" s="4"/>
    </row>
    <row r="104" spans="1:11" hidden="1">
      <c r="A104" s="4" t="s">
        <v>81</v>
      </c>
      <c r="B104" s="4" t="s">
        <v>39</v>
      </c>
      <c r="C104" s="4">
        <v>3</v>
      </c>
      <c r="D104" s="71">
        <f>IFERROR(VLOOKUP(Easter[[#This Row],[Product Name]],'Lookup sheet'!$A$1:$D$31,4,FALSE),"")</f>
        <v>25</v>
      </c>
      <c r="E104" s="5">
        <f>IFERROR(Easter[[#This Row],[Price (Per Unit ₹)]]*Easter[[#This Row],[Quantity ]],"")</f>
        <v>75</v>
      </c>
      <c r="F104" s="6">
        <v>46116</v>
      </c>
      <c r="G104" s="25" t="s">
        <v>20</v>
      </c>
      <c r="H104" s="25" t="s">
        <v>21</v>
      </c>
      <c r="I104" s="4" t="s">
        <v>22</v>
      </c>
      <c r="J104" s="4" t="s">
        <v>23</v>
      </c>
      <c r="K104" s="4"/>
    </row>
    <row r="105" spans="1:11" hidden="1">
      <c r="A105" s="4" t="s">
        <v>81</v>
      </c>
      <c r="B105" s="4" t="s">
        <v>42</v>
      </c>
      <c r="C105" s="4">
        <v>1</v>
      </c>
      <c r="D105" s="71">
        <f>IFERROR(VLOOKUP(Easter[[#This Row],[Product Name]],'Lookup sheet'!$A$1:$D$31,4,FALSE),"")</f>
        <v>30</v>
      </c>
      <c r="E105" s="5">
        <f>IFERROR(Easter[[#This Row],[Price (Per Unit ₹)]]*Easter[[#This Row],[Quantity ]],"")</f>
        <v>30</v>
      </c>
      <c r="F105" s="6">
        <v>46116</v>
      </c>
      <c r="G105" s="25" t="s">
        <v>20</v>
      </c>
      <c r="H105" s="25" t="s">
        <v>21</v>
      </c>
      <c r="I105" s="4" t="s">
        <v>22</v>
      </c>
      <c r="J105" s="4" t="s">
        <v>23</v>
      </c>
      <c r="K105" s="4"/>
    </row>
    <row r="106" spans="1:11" hidden="1">
      <c r="A106" s="4" t="s">
        <v>81</v>
      </c>
      <c r="B106" s="4" t="s">
        <v>43</v>
      </c>
      <c r="C106" s="4">
        <v>3</v>
      </c>
      <c r="D106" s="71">
        <f>IFERROR(VLOOKUP(Easter[[#This Row],[Product Name]],'Lookup sheet'!$A$1:$D$31,4,FALSE),"")</f>
        <v>25</v>
      </c>
      <c r="E106" s="5">
        <f>IFERROR(Easter[[#This Row],[Price (Per Unit ₹)]]*Easter[[#This Row],[Quantity ]],"")</f>
        <v>75</v>
      </c>
      <c r="F106" s="6">
        <v>46116</v>
      </c>
      <c r="G106" s="25" t="s">
        <v>20</v>
      </c>
      <c r="H106" s="25" t="s">
        <v>21</v>
      </c>
      <c r="I106" s="4" t="s">
        <v>22</v>
      </c>
      <c r="J106" s="4" t="s">
        <v>23</v>
      </c>
      <c r="K106" s="4"/>
    </row>
    <row r="107" spans="1:11" hidden="1">
      <c r="A107" s="4" t="s">
        <v>82</v>
      </c>
      <c r="B107" s="4" t="s">
        <v>42</v>
      </c>
      <c r="C107" s="4">
        <v>1</v>
      </c>
      <c r="D107" s="33">
        <f>IFERROR(VLOOKUP(Easter[[#This Row],[Product Name]],'Lookup sheet'!$A$1:$D$31,4,FALSE),"")</f>
        <v>30</v>
      </c>
      <c r="E107" s="5">
        <f>IFERROR(Easter[[#This Row],[Price (Per Unit ₹)]]*Easter[[#This Row],[Quantity ]],"")</f>
        <v>30</v>
      </c>
      <c r="F107" s="6">
        <v>46124</v>
      </c>
      <c r="G107" s="25" t="s">
        <v>83</v>
      </c>
      <c r="H107" s="4" t="s">
        <v>84</v>
      </c>
      <c r="I107" s="4" t="s">
        <v>22</v>
      </c>
      <c r="J107" s="4"/>
      <c r="K107" s="4"/>
    </row>
    <row r="108" spans="1:11" hidden="1">
      <c r="A108" s="4" t="s">
        <v>82</v>
      </c>
      <c r="B108" s="4" t="s">
        <v>33</v>
      </c>
      <c r="C108" s="4">
        <v>1</v>
      </c>
      <c r="D108" s="33">
        <f>IFERROR(VLOOKUP(Easter[[#This Row],[Product Name]],'Lookup sheet'!$A$1:$D$31,4,FALSE),"")</f>
        <v>25</v>
      </c>
      <c r="E108" s="5">
        <f>IFERROR(Easter[[#This Row],[Price (Per Unit ₹)]]*Easter[[#This Row],[Quantity ]],"")</f>
        <v>25</v>
      </c>
      <c r="F108" s="6">
        <v>46124</v>
      </c>
      <c r="G108" s="25" t="s">
        <v>83</v>
      </c>
      <c r="H108" s="4" t="s">
        <v>84</v>
      </c>
      <c r="I108" s="4" t="s">
        <v>22</v>
      </c>
      <c r="J108" s="4"/>
      <c r="K108" s="4"/>
    </row>
    <row r="109" spans="1:11" hidden="1">
      <c r="A109" s="4" t="s">
        <v>82</v>
      </c>
      <c r="B109" s="4" t="s">
        <v>40</v>
      </c>
      <c r="C109" s="4">
        <v>1</v>
      </c>
      <c r="D109" s="33">
        <f>IFERROR(VLOOKUP(Easter[[#This Row],[Product Name]],'Lookup sheet'!$A$1:$D$31,4,FALSE),"")</f>
        <v>25</v>
      </c>
      <c r="E109" s="5">
        <f>IFERROR(Easter[[#This Row],[Price (Per Unit ₹)]]*Easter[[#This Row],[Quantity ]],"")</f>
        <v>25</v>
      </c>
      <c r="F109" s="6">
        <v>46124</v>
      </c>
      <c r="G109" s="25" t="s">
        <v>83</v>
      </c>
      <c r="H109" s="4" t="s">
        <v>84</v>
      </c>
      <c r="I109" s="4" t="s">
        <v>22</v>
      </c>
      <c r="J109" s="4"/>
      <c r="K109" s="4"/>
    </row>
    <row r="110" spans="1:11" hidden="1">
      <c r="A110" s="4" t="s">
        <v>82</v>
      </c>
      <c r="B110" s="4" t="s">
        <v>43</v>
      </c>
      <c r="C110" s="4">
        <v>1</v>
      </c>
      <c r="D110" s="33">
        <f>IFERROR(VLOOKUP(Easter[[#This Row],[Product Name]],'Lookup sheet'!$A$1:$D$31,4,FALSE),"")</f>
        <v>25</v>
      </c>
      <c r="E110" s="5">
        <f>IFERROR(Easter[[#This Row],[Price (Per Unit ₹)]]*Easter[[#This Row],[Quantity ]],"")</f>
        <v>25</v>
      </c>
      <c r="F110" s="6">
        <v>46124</v>
      </c>
      <c r="G110" s="25" t="s">
        <v>83</v>
      </c>
      <c r="H110" s="4" t="s">
        <v>84</v>
      </c>
      <c r="I110" s="4" t="s">
        <v>22</v>
      </c>
      <c r="J110" s="4"/>
      <c r="K110" s="4"/>
    </row>
    <row r="111" spans="1:11" hidden="1">
      <c r="A111" s="4" t="s">
        <v>82</v>
      </c>
      <c r="B111" s="4" t="s">
        <v>62</v>
      </c>
      <c r="C111" s="4">
        <v>1</v>
      </c>
      <c r="D111" s="33">
        <f>IFERROR(VLOOKUP(Easter[[#This Row],[Product Name]],'Lookup sheet'!$A$1:$D$31,4,FALSE),"")</f>
        <v>25</v>
      </c>
      <c r="E111" s="5">
        <f>IFERROR(Easter[[#This Row],[Price (Per Unit ₹)]]*Easter[[#This Row],[Quantity ]],"")</f>
        <v>25</v>
      </c>
      <c r="F111" s="6">
        <v>46124</v>
      </c>
      <c r="G111" s="25" t="s">
        <v>83</v>
      </c>
      <c r="H111" s="4" t="s">
        <v>84</v>
      </c>
      <c r="I111" s="4" t="s">
        <v>22</v>
      </c>
      <c r="J111" s="4"/>
      <c r="K111" s="4"/>
    </row>
    <row r="112" spans="1:11" hidden="1">
      <c r="A112" s="4" t="s">
        <v>85</v>
      </c>
      <c r="B112" s="4" t="s">
        <v>43</v>
      </c>
      <c r="C112" s="4">
        <v>1</v>
      </c>
      <c r="D112" s="33">
        <f>IFERROR(VLOOKUP(Easter[[#This Row],[Product Name]],'Lookup sheet'!$A$1:$D$31,4,FALSE),"")</f>
        <v>25</v>
      </c>
      <c r="E112" s="5">
        <f>IFERROR(Easter[[#This Row],[Price (Per Unit ₹)]]*Easter[[#This Row],[Quantity ]],"")</f>
        <v>25</v>
      </c>
      <c r="F112" s="6">
        <v>46124</v>
      </c>
      <c r="G112" s="25" t="s">
        <v>83</v>
      </c>
      <c r="H112" s="4" t="s">
        <v>84</v>
      </c>
      <c r="I112" s="4" t="s">
        <v>22</v>
      </c>
      <c r="J112" s="4"/>
      <c r="K112" s="4"/>
    </row>
    <row r="113" spans="1:11" hidden="1">
      <c r="A113" s="4" t="s">
        <v>85</v>
      </c>
      <c r="B113" s="4" t="s">
        <v>33</v>
      </c>
      <c r="C113" s="4">
        <v>1</v>
      </c>
      <c r="D113" s="33">
        <f>IFERROR(VLOOKUP(Easter[[#This Row],[Product Name]],'Lookup sheet'!$A$1:$D$31,4,FALSE),"")</f>
        <v>25</v>
      </c>
      <c r="E113" s="5">
        <f>IFERROR(Easter[[#This Row],[Price (Per Unit ₹)]]*Easter[[#This Row],[Quantity ]],"")</f>
        <v>25</v>
      </c>
      <c r="F113" s="6">
        <v>46124</v>
      </c>
      <c r="G113" s="25" t="s">
        <v>83</v>
      </c>
      <c r="H113" s="4" t="s">
        <v>84</v>
      </c>
      <c r="I113" s="4" t="s">
        <v>22</v>
      </c>
      <c r="J113" s="4"/>
      <c r="K113" s="4"/>
    </row>
    <row r="114" spans="1:11" hidden="1">
      <c r="A114" s="4" t="s">
        <v>85</v>
      </c>
      <c r="B114" s="4" t="s">
        <v>62</v>
      </c>
      <c r="C114" s="4">
        <v>1</v>
      </c>
      <c r="D114" s="33">
        <f>IFERROR(VLOOKUP(Easter[[#This Row],[Product Name]],'Lookup sheet'!$A$1:$D$31,4,FALSE),"")</f>
        <v>25</v>
      </c>
      <c r="E114" s="5">
        <f>IFERROR(Easter[[#This Row],[Price (Per Unit ₹)]]*Easter[[#This Row],[Quantity ]],"")</f>
        <v>25</v>
      </c>
      <c r="F114" s="6">
        <v>46124</v>
      </c>
      <c r="G114" s="25" t="s">
        <v>83</v>
      </c>
      <c r="H114" s="4" t="s">
        <v>84</v>
      </c>
      <c r="I114" s="4" t="s">
        <v>22</v>
      </c>
      <c r="J114" s="4"/>
      <c r="K114" s="4"/>
    </row>
    <row r="115" spans="1:11">
      <c r="A115" s="4" t="s">
        <v>86</v>
      </c>
      <c r="B115" s="4" t="s">
        <v>35</v>
      </c>
      <c r="C115" s="4">
        <v>1</v>
      </c>
      <c r="D115" s="71">
        <f>IFERROR(VLOOKUP(Easter[[#This Row],[Product Name]],'Lookup sheet'!$A$1:$D$31,4,FALSE),"")</f>
        <v>150</v>
      </c>
      <c r="E115" s="5">
        <f>IFERROR(Easter[[#This Row],[Price (Per Unit ₹)]]*Easter[[#This Row],[Quantity ]],"")</f>
        <v>150</v>
      </c>
      <c r="F115" s="6">
        <v>46116</v>
      </c>
      <c r="G115" s="25" t="s">
        <v>20</v>
      </c>
      <c r="H115" s="4" t="s">
        <v>21</v>
      </c>
      <c r="I115" s="4" t="s">
        <v>22</v>
      </c>
      <c r="J115" s="4" t="s">
        <v>36</v>
      </c>
      <c r="K115" s="4"/>
    </row>
    <row r="116" spans="1:11" hidden="1">
      <c r="A116" s="4" t="s">
        <v>87</v>
      </c>
      <c r="B116" s="4" t="s">
        <v>30</v>
      </c>
      <c r="C116" s="4">
        <v>1</v>
      </c>
      <c r="D116" s="33">
        <f>IFERROR(VLOOKUP(Easter[[#This Row],[Product Name]],'Lookup sheet'!$A$1:$D$31,4,FALSE),"")</f>
        <v>60</v>
      </c>
      <c r="E116" s="5">
        <f>IFERROR(Easter[[#This Row],[Price (Per Unit ₹)]]*Easter[[#This Row],[Quantity ]],"")</f>
        <v>60</v>
      </c>
      <c r="F116" s="6">
        <v>46115</v>
      </c>
      <c r="G116" s="25" t="s">
        <v>20</v>
      </c>
      <c r="H116" s="4" t="s">
        <v>21</v>
      </c>
      <c r="I116" s="4" t="s">
        <v>45</v>
      </c>
      <c r="J116" s="144" t="s">
        <v>46</v>
      </c>
      <c r="K116" s="4" t="s">
        <v>88</v>
      </c>
    </row>
    <row r="117" spans="1:11" hidden="1">
      <c r="A117" s="4" t="s">
        <v>87</v>
      </c>
      <c r="B117" s="4" t="s">
        <v>27</v>
      </c>
      <c r="C117" s="4">
        <v>1</v>
      </c>
      <c r="D117" s="33">
        <f>IFERROR(VLOOKUP(Easter[[#This Row],[Product Name]],'Lookup sheet'!$A$1:$D$31,4,FALSE),"")</f>
        <v>65</v>
      </c>
      <c r="E117" s="5">
        <f>IFERROR(Easter[[#This Row],[Price (Per Unit ₹)]]*Easter[[#This Row],[Quantity ]],"")</f>
        <v>65</v>
      </c>
      <c r="F117" s="6">
        <v>46115</v>
      </c>
      <c r="G117" s="25" t="s">
        <v>20</v>
      </c>
      <c r="H117" s="4" t="s">
        <v>21</v>
      </c>
      <c r="I117" s="4" t="s">
        <v>45</v>
      </c>
      <c r="J117" s="144" t="s">
        <v>46</v>
      </c>
      <c r="K117" s="4"/>
    </row>
    <row r="118" spans="1:11" hidden="1">
      <c r="A118" s="4" t="s">
        <v>87</v>
      </c>
      <c r="B118" s="4" t="s">
        <v>28</v>
      </c>
      <c r="C118" s="4">
        <v>1</v>
      </c>
      <c r="D118" s="33">
        <f>IFERROR(VLOOKUP(Easter[[#This Row],[Product Name]],'Lookup sheet'!$A$1:$D$31,4,FALSE),"")</f>
        <v>60</v>
      </c>
      <c r="E118" s="5">
        <f>IFERROR(Easter[[#This Row],[Price (Per Unit ₹)]]*Easter[[#This Row],[Quantity ]],"")</f>
        <v>60</v>
      </c>
      <c r="F118" s="6">
        <v>46115</v>
      </c>
      <c r="G118" s="25" t="s">
        <v>20</v>
      </c>
      <c r="H118" s="4" t="s">
        <v>21</v>
      </c>
      <c r="I118" s="4" t="s">
        <v>45</v>
      </c>
      <c r="J118" s="144" t="s">
        <v>46</v>
      </c>
      <c r="K118" s="4"/>
    </row>
    <row r="119" spans="1:11" hidden="1">
      <c r="A119" s="4" t="s">
        <v>87</v>
      </c>
      <c r="B119" s="4" t="s">
        <v>31</v>
      </c>
      <c r="C119" s="4">
        <v>1</v>
      </c>
      <c r="D119" s="33">
        <f>IFERROR(VLOOKUP(Easter[[#This Row],[Product Name]],'Lookup sheet'!$A$1:$D$31,4,FALSE),"")</f>
        <v>55</v>
      </c>
      <c r="E119" s="5">
        <f>IFERROR(Easter[[#This Row],[Price (Per Unit ₹)]]*Easter[[#This Row],[Quantity ]],"")</f>
        <v>55</v>
      </c>
      <c r="F119" s="6">
        <v>46115</v>
      </c>
      <c r="G119" s="25" t="s">
        <v>20</v>
      </c>
      <c r="H119" s="4" t="s">
        <v>21</v>
      </c>
      <c r="I119" s="4" t="s">
        <v>45</v>
      </c>
      <c r="J119" s="144" t="s">
        <v>46</v>
      </c>
      <c r="K119" s="4"/>
    </row>
    <row r="120" spans="1:11" hidden="1">
      <c r="A120" s="4" t="s">
        <v>87</v>
      </c>
      <c r="B120" s="4" t="s">
        <v>60</v>
      </c>
      <c r="C120" s="4">
        <v>4</v>
      </c>
      <c r="D120" s="33">
        <f>IFERROR(VLOOKUP(Easter[[#This Row],[Product Name]],'Lookup sheet'!$A$1:$D$31,4,FALSE),"")</f>
        <v>130</v>
      </c>
      <c r="E120" s="5">
        <f>IFERROR(Easter[[#This Row],[Price (Per Unit ₹)]]*Easter[[#This Row],[Quantity ]],"")</f>
        <v>520</v>
      </c>
      <c r="F120" s="6">
        <v>46115</v>
      </c>
      <c r="G120" s="25" t="s">
        <v>20</v>
      </c>
      <c r="H120" s="4" t="s">
        <v>21</v>
      </c>
      <c r="I120" s="4" t="s">
        <v>45</v>
      </c>
      <c r="J120" s="144" t="s">
        <v>46</v>
      </c>
      <c r="K120" s="4"/>
    </row>
    <row r="121" spans="1:11" hidden="1">
      <c r="A121" s="4" t="s">
        <v>89</v>
      </c>
      <c r="B121" s="4" t="s">
        <v>37</v>
      </c>
      <c r="C121" s="4">
        <v>8</v>
      </c>
      <c r="D121" s="71">
        <f>IFERROR(VLOOKUP(Easter[[#This Row],[Product Name]],'Lookup sheet'!$A$1:$D$31,4,FALSE),"")</f>
        <v>100</v>
      </c>
      <c r="E121" s="5">
        <f>IFERROR(Easter[[#This Row],[Price (Per Unit ₹)]]*Easter[[#This Row],[Quantity ]],"")</f>
        <v>800</v>
      </c>
      <c r="F121" s="6">
        <v>46114</v>
      </c>
      <c r="G121" s="25" t="s">
        <v>20</v>
      </c>
      <c r="H121" s="4" t="s">
        <v>21</v>
      </c>
      <c r="I121" s="4" t="s">
        <v>45</v>
      </c>
      <c r="J121" s="4" t="s">
        <v>46</v>
      </c>
      <c r="K121" s="4"/>
    </row>
    <row r="122" spans="1:11" hidden="1">
      <c r="A122" s="4" t="s">
        <v>90</v>
      </c>
      <c r="B122" s="4" t="s">
        <v>27</v>
      </c>
      <c r="C122" s="4">
        <v>1</v>
      </c>
      <c r="D122" s="71">
        <f>IFERROR(VLOOKUP(Easter[[#This Row],[Product Name]],'Lookup sheet'!$A$1:$D$31,4,FALSE),"")</f>
        <v>65</v>
      </c>
      <c r="E122" s="5">
        <f>IFERROR(Easter[[#This Row],[Price (Per Unit ₹)]]*Easter[[#This Row],[Quantity ]],"")</f>
        <v>65</v>
      </c>
      <c r="F122" s="6">
        <v>46114</v>
      </c>
      <c r="G122" s="25" t="s">
        <v>20</v>
      </c>
      <c r="H122" s="4" t="s">
        <v>21</v>
      </c>
      <c r="I122" s="4" t="s">
        <v>22</v>
      </c>
      <c r="J122" s="4" t="s">
        <v>23</v>
      </c>
      <c r="K122" s="4"/>
    </row>
    <row r="123" spans="1:11" hidden="1">
      <c r="A123" s="4" t="s">
        <v>90</v>
      </c>
      <c r="B123" s="4" t="s">
        <v>28</v>
      </c>
      <c r="C123" s="4">
        <v>1</v>
      </c>
      <c r="D123" s="71">
        <f>IFERROR(VLOOKUP(Easter[[#This Row],[Product Name]],'Lookup sheet'!$A$1:$D$31,4,FALSE),"")</f>
        <v>60</v>
      </c>
      <c r="E123" s="5">
        <f>IFERROR(Easter[[#This Row],[Price (Per Unit ₹)]]*Easter[[#This Row],[Quantity ]],"")</f>
        <v>60</v>
      </c>
      <c r="F123" s="6">
        <v>46114</v>
      </c>
      <c r="G123" s="25" t="s">
        <v>20</v>
      </c>
      <c r="H123" s="4" t="s">
        <v>21</v>
      </c>
      <c r="I123" s="4" t="s">
        <v>22</v>
      </c>
      <c r="J123" s="4" t="s">
        <v>23</v>
      </c>
      <c r="K123" s="4"/>
    </row>
    <row r="124" spans="1:11" hidden="1">
      <c r="A124" s="4" t="s">
        <v>90</v>
      </c>
      <c r="B124" s="4" t="s">
        <v>51</v>
      </c>
      <c r="C124" s="4">
        <v>25</v>
      </c>
      <c r="D124" s="71">
        <f>IFERROR(VLOOKUP(Easter[[#This Row],[Product Name]],'Lookup sheet'!$A$1:$D$31,4,FALSE),"")</f>
        <v>20</v>
      </c>
      <c r="E124" s="5">
        <f>IFERROR(Easter[[#This Row],[Price (Per Unit ₹)]]*Easter[[#This Row],[Quantity ]],"")</f>
        <v>500</v>
      </c>
      <c r="F124" s="6">
        <v>46114</v>
      </c>
      <c r="G124" s="25" t="s">
        <v>20</v>
      </c>
      <c r="H124" s="4" t="s">
        <v>21</v>
      </c>
      <c r="I124" s="4" t="s">
        <v>22</v>
      </c>
      <c r="J124" s="4" t="s">
        <v>23</v>
      </c>
      <c r="K124" s="4"/>
    </row>
    <row r="125" spans="1:11" hidden="1">
      <c r="A125" s="4" t="s">
        <v>90</v>
      </c>
      <c r="B125" s="4" t="s">
        <v>25</v>
      </c>
      <c r="C125" s="4">
        <v>3</v>
      </c>
      <c r="D125" s="71">
        <f>IFERROR(VLOOKUP(Easter[[#This Row],[Product Name]],'Lookup sheet'!$A$1:$D$31,4,FALSE),"")</f>
        <v>55</v>
      </c>
      <c r="E125" s="5">
        <f>IFERROR(Easter[[#This Row],[Price (Per Unit ₹)]]*Easter[[#This Row],[Quantity ]],"")</f>
        <v>165</v>
      </c>
      <c r="F125" s="6">
        <v>46116</v>
      </c>
      <c r="G125" s="25" t="s">
        <v>20</v>
      </c>
      <c r="H125" s="4" t="s">
        <v>21</v>
      </c>
      <c r="I125" s="4" t="s">
        <v>22</v>
      </c>
      <c r="J125" s="4" t="s">
        <v>23</v>
      </c>
      <c r="K125" s="4"/>
    </row>
    <row r="126" spans="1:11" hidden="1">
      <c r="A126" s="4" t="s">
        <v>90</v>
      </c>
      <c r="B126" s="4" t="s">
        <v>31</v>
      </c>
      <c r="C126" s="4">
        <v>2</v>
      </c>
      <c r="D126" s="71">
        <f>IFERROR(VLOOKUP(Easter[[#This Row],[Product Name]],'Lookup sheet'!$A$1:$D$31,4,FALSE),"")</f>
        <v>55</v>
      </c>
      <c r="E126" s="5">
        <f>IFERROR(Easter[[#This Row],[Price (Per Unit ₹)]]*Easter[[#This Row],[Quantity ]],"")</f>
        <v>110</v>
      </c>
      <c r="F126" s="6">
        <v>46116</v>
      </c>
      <c r="G126" s="25" t="s">
        <v>20</v>
      </c>
      <c r="H126" s="4" t="s">
        <v>21</v>
      </c>
      <c r="I126" s="4" t="s">
        <v>22</v>
      </c>
      <c r="J126" s="4" t="s">
        <v>23</v>
      </c>
      <c r="K126" s="4"/>
    </row>
    <row r="127" spans="1:11" hidden="1">
      <c r="A127" s="4" t="s">
        <v>90</v>
      </c>
      <c r="B127" s="4" t="s">
        <v>28</v>
      </c>
      <c r="C127" s="4">
        <v>2</v>
      </c>
      <c r="D127" s="71">
        <f>IFERROR(VLOOKUP(Easter[[#This Row],[Product Name]],'Lookup sheet'!$A$1:$D$31,4,FALSE),"")</f>
        <v>60</v>
      </c>
      <c r="E127" s="5">
        <f>IFERROR(Easter[[#This Row],[Price (Per Unit ₹)]]*Easter[[#This Row],[Quantity ]],"")</f>
        <v>120</v>
      </c>
      <c r="F127" s="6">
        <v>46116</v>
      </c>
      <c r="G127" s="25" t="s">
        <v>20</v>
      </c>
      <c r="H127" s="4" t="s">
        <v>21</v>
      </c>
      <c r="I127" s="4" t="s">
        <v>22</v>
      </c>
      <c r="J127" s="4" t="s">
        <v>23</v>
      </c>
      <c r="K127" s="4"/>
    </row>
    <row r="128" spans="1:11" hidden="1">
      <c r="A128" s="4" t="s">
        <v>90</v>
      </c>
      <c r="B128" s="4" t="s">
        <v>27</v>
      </c>
      <c r="C128" s="4">
        <v>2</v>
      </c>
      <c r="D128" s="71">
        <f>IFERROR(VLOOKUP(Easter[[#This Row],[Product Name]],'Lookup sheet'!$A$1:$D$31,4,FALSE),"")</f>
        <v>65</v>
      </c>
      <c r="E128" s="5">
        <f>IFERROR(Easter[[#This Row],[Price (Per Unit ₹)]]*Easter[[#This Row],[Quantity ]],"")</f>
        <v>130</v>
      </c>
      <c r="F128" s="6">
        <v>46116</v>
      </c>
      <c r="G128" s="25" t="s">
        <v>20</v>
      </c>
      <c r="H128" s="4" t="s">
        <v>21</v>
      </c>
      <c r="I128" s="4" t="s">
        <v>22</v>
      </c>
      <c r="J128" s="4" t="s">
        <v>23</v>
      </c>
      <c r="K128" s="4"/>
    </row>
    <row r="129" spans="1:11" hidden="1">
      <c r="A129" s="4" t="s">
        <v>91</v>
      </c>
      <c r="B129" s="4" t="s">
        <v>75</v>
      </c>
      <c r="C129" s="4">
        <v>25</v>
      </c>
      <c r="D129" s="71">
        <f>IFERROR(VLOOKUP(Easter[[#This Row],[Product Name]],'Lookup sheet'!$A$1:$D$31,4,FALSE),"")</f>
        <v>50</v>
      </c>
      <c r="E129" s="5">
        <f>IFERROR(Easter[[#This Row],[Price (Per Unit ₹)]]*Easter[[#This Row],[Quantity ]],"")</f>
        <v>1250</v>
      </c>
      <c r="F129" s="6">
        <v>46124</v>
      </c>
      <c r="G129" s="25" t="s">
        <v>20</v>
      </c>
      <c r="H129" s="4" t="s">
        <v>21</v>
      </c>
      <c r="I129" s="4" t="s">
        <v>45</v>
      </c>
      <c r="J129" s="4" t="s">
        <v>46</v>
      </c>
      <c r="K129" s="4"/>
    </row>
    <row r="130" spans="1:11" hidden="1">
      <c r="A130" s="4" t="s">
        <v>91</v>
      </c>
      <c r="B130" s="4" t="s">
        <v>92</v>
      </c>
      <c r="C130" s="4">
        <v>25</v>
      </c>
      <c r="D130" s="71">
        <f>IFERROR(VLOOKUP(Easter[[#This Row],[Product Name]],'Lookup sheet'!$A$1:$D$31,4,FALSE),"")</f>
        <v>50</v>
      </c>
      <c r="E130" s="5">
        <f>IFERROR(Easter[[#This Row],[Price (Per Unit ₹)]]*Easter[[#This Row],[Quantity ]],"")</f>
        <v>1250</v>
      </c>
      <c r="F130" s="6">
        <v>46124</v>
      </c>
      <c r="G130" s="25" t="s">
        <v>20</v>
      </c>
      <c r="H130" s="4" t="s">
        <v>21</v>
      </c>
      <c r="I130" s="4" t="s">
        <v>45</v>
      </c>
      <c r="J130" s="4" t="s">
        <v>46</v>
      </c>
      <c r="K130" s="4"/>
    </row>
    <row r="131" spans="1:11" hidden="1">
      <c r="A131" s="4" t="s">
        <v>91</v>
      </c>
      <c r="B131" s="4" t="s">
        <v>93</v>
      </c>
      <c r="C131" s="4">
        <v>10</v>
      </c>
      <c r="D131" s="71">
        <f>IFERROR(VLOOKUP(Easter[[#This Row],[Product Name]],'Lookup sheet'!$A$1:$D$31,4,FALSE),"")</f>
        <v>50</v>
      </c>
      <c r="E131" s="5">
        <f>IFERROR(Easter[[#This Row],[Price (Per Unit ₹)]]*Easter[[#This Row],[Quantity ]],"")</f>
        <v>500</v>
      </c>
      <c r="F131" s="6">
        <v>46124</v>
      </c>
      <c r="G131" s="25" t="s">
        <v>20</v>
      </c>
      <c r="H131" s="4" t="s">
        <v>21</v>
      </c>
      <c r="I131" s="4" t="s">
        <v>45</v>
      </c>
      <c r="J131" s="4" t="s">
        <v>46</v>
      </c>
      <c r="K131" s="4"/>
    </row>
    <row r="132" spans="1:11">
      <c r="A132" s="4" t="s">
        <v>94</v>
      </c>
      <c r="B132" s="4" t="s">
        <v>55</v>
      </c>
      <c r="C132" s="4">
        <v>1</v>
      </c>
      <c r="D132" s="33">
        <f>IFERROR(VLOOKUP(Easter[[#This Row],[Product Name]],'Lookup sheet'!$A$1:$D$31,4,FALSE),"")</f>
        <v>130</v>
      </c>
      <c r="E132" s="5">
        <f>IFERROR(Easter[[#This Row],[Price (Per Unit ₹)]]*Easter[[#This Row],[Quantity ]],"")</f>
        <v>130</v>
      </c>
      <c r="F132" s="6">
        <v>46116</v>
      </c>
      <c r="G132" s="25" t="s">
        <v>20</v>
      </c>
      <c r="H132" s="4" t="s">
        <v>21</v>
      </c>
      <c r="I132" s="4" t="s">
        <v>22</v>
      </c>
      <c r="J132" s="4" t="s">
        <v>36</v>
      </c>
      <c r="K132" s="4"/>
    </row>
    <row r="133" spans="1:11">
      <c r="A133" s="4" t="s">
        <v>94</v>
      </c>
      <c r="B133" s="4" t="s">
        <v>40</v>
      </c>
      <c r="C133" s="4">
        <v>2</v>
      </c>
      <c r="D133" s="33">
        <f>IFERROR(VLOOKUP(Easter[[#This Row],[Product Name]],'Lookup sheet'!$A$1:$D$31,4,FALSE),"")</f>
        <v>25</v>
      </c>
      <c r="E133" s="5">
        <f>IFERROR(Easter[[#This Row],[Price (Per Unit ₹)]]*Easter[[#This Row],[Quantity ]],"")</f>
        <v>50</v>
      </c>
      <c r="F133" s="6">
        <v>46116</v>
      </c>
      <c r="G133" s="25" t="s">
        <v>20</v>
      </c>
      <c r="H133" s="4" t="s">
        <v>21</v>
      </c>
      <c r="I133" s="4" t="s">
        <v>22</v>
      </c>
      <c r="J133" s="4" t="s">
        <v>36</v>
      </c>
      <c r="K133" s="4"/>
    </row>
    <row r="134" spans="1:11">
      <c r="A134" s="4" t="s">
        <v>94</v>
      </c>
      <c r="B134" s="4" t="s">
        <v>62</v>
      </c>
      <c r="C134" s="4">
        <v>2</v>
      </c>
      <c r="D134" s="33">
        <f>IFERROR(VLOOKUP(Easter[[#This Row],[Product Name]],'Lookup sheet'!$A$1:$D$31,4,FALSE),"")</f>
        <v>25</v>
      </c>
      <c r="E134" s="5">
        <f>IFERROR(Easter[[#This Row],[Price (Per Unit ₹)]]*Easter[[#This Row],[Quantity ]],"")</f>
        <v>50</v>
      </c>
      <c r="F134" s="6">
        <v>46116</v>
      </c>
      <c r="G134" s="25" t="s">
        <v>20</v>
      </c>
      <c r="H134" s="4" t="s">
        <v>21</v>
      </c>
      <c r="I134" s="4" t="s">
        <v>22</v>
      </c>
      <c r="J134" s="4" t="s">
        <v>36</v>
      </c>
      <c r="K134" s="4"/>
    </row>
    <row r="135" spans="1:11">
      <c r="A135" s="4" t="s">
        <v>95</v>
      </c>
      <c r="B135" s="4" t="s">
        <v>69</v>
      </c>
      <c r="C135" s="4">
        <v>2</v>
      </c>
      <c r="D135" s="71">
        <f>IFERROR(VLOOKUP(Easter[[#This Row],[Product Name]],'Lookup sheet'!$A$1:$D$31,4,FALSE),"")</f>
        <v>130</v>
      </c>
      <c r="E135" s="5">
        <f>IFERROR(Easter[[#This Row],[Price (Per Unit ₹)]]*Easter[[#This Row],[Quantity ]],"")</f>
        <v>260</v>
      </c>
      <c r="F135" s="6">
        <v>46116</v>
      </c>
      <c r="G135" s="25" t="s">
        <v>20</v>
      </c>
      <c r="H135" s="25" t="s">
        <v>21</v>
      </c>
      <c r="I135" s="4" t="s">
        <v>22</v>
      </c>
      <c r="J135" s="4" t="s">
        <v>36</v>
      </c>
      <c r="K135" s="4"/>
    </row>
    <row r="136" spans="1:11">
      <c r="A136" s="4" t="s">
        <v>95</v>
      </c>
      <c r="B136" s="4" t="s">
        <v>58</v>
      </c>
      <c r="C136" s="4">
        <v>2</v>
      </c>
      <c r="D136" s="71">
        <f>IFERROR(VLOOKUP(Easter[[#This Row],[Product Name]],'Lookup sheet'!$A$1:$D$31,4,FALSE),"")</f>
        <v>130</v>
      </c>
      <c r="E136" s="5">
        <f>IFERROR(Easter[[#This Row],[Price (Per Unit ₹)]]*Easter[[#This Row],[Quantity ]],"")</f>
        <v>260</v>
      </c>
      <c r="F136" s="6">
        <v>46116</v>
      </c>
      <c r="G136" s="25" t="s">
        <v>20</v>
      </c>
      <c r="H136" s="25" t="s">
        <v>21</v>
      </c>
      <c r="I136" s="4" t="s">
        <v>22</v>
      </c>
      <c r="J136" s="4" t="s">
        <v>36</v>
      </c>
      <c r="K136" s="4"/>
    </row>
    <row r="137" spans="1:11">
      <c r="A137" s="4" t="s">
        <v>95</v>
      </c>
      <c r="B137" s="4" t="s">
        <v>35</v>
      </c>
      <c r="C137" s="4">
        <v>2</v>
      </c>
      <c r="D137" s="71">
        <f>IFERROR(VLOOKUP(Easter[[#This Row],[Product Name]],'Lookup sheet'!$A$1:$D$31,4,FALSE),"")</f>
        <v>150</v>
      </c>
      <c r="E137" s="5">
        <f>IFERROR(Easter[[#This Row],[Price (Per Unit ₹)]]*Easter[[#This Row],[Quantity ]],"")</f>
        <v>300</v>
      </c>
      <c r="F137" s="6">
        <v>46116</v>
      </c>
      <c r="G137" s="25" t="s">
        <v>20</v>
      </c>
      <c r="H137" s="25" t="s">
        <v>21</v>
      </c>
      <c r="I137" s="4" t="s">
        <v>22</v>
      </c>
      <c r="J137" s="4" t="s">
        <v>36</v>
      </c>
      <c r="K137" s="4"/>
    </row>
    <row r="138" spans="1:11">
      <c r="A138" s="4" t="s">
        <v>95</v>
      </c>
      <c r="B138" s="4" t="s">
        <v>59</v>
      </c>
      <c r="C138" s="4">
        <v>2</v>
      </c>
      <c r="D138" s="71">
        <f>IFERROR(VLOOKUP(Easter[[#This Row],[Product Name]],'Lookup sheet'!$A$1:$D$31,4,FALSE),"")</f>
        <v>130</v>
      </c>
      <c r="E138" s="5">
        <f>IFERROR(Easter[[#This Row],[Price (Per Unit ₹)]]*Easter[[#This Row],[Quantity ]],"")</f>
        <v>260</v>
      </c>
      <c r="F138" s="6">
        <v>46116</v>
      </c>
      <c r="G138" s="25" t="s">
        <v>20</v>
      </c>
      <c r="H138" s="25" t="s">
        <v>21</v>
      </c>
      <c r="I138" s="4" t="s">
        <v>22</v>
      </c>
      <c r="J138" s="4" t="s">
        <v>36</v>
      </c>
      <c r="K138" s="4"/>
    </row>
    <row r="139" spans="1:11">
      <c r="A139" s="4" t="s">
        <v>95</v>
      </c>
      <c r="B139" s="4" t="s">
        <v>60</v>
      </c>
      <c r="C139" s="4">
        <v>1</v>
      </c>
      <c r="D139" s="71">
        <f>IFERROR(VLOOKUP(Easter[[#This Row],[Product Name]],'Lookup sheet'!$A$1:$D$31,4,FALSE),"")</f>
        <v>130</v>
      </c>
      <c r="E139" s="5">
        <f>IFERROR(Easter[[#This Row],[Price (Per Unit ₹)]]*Easter[[#This Row],[Quantity ]],"")</f>
        <v>130</v>
      </c>
      <c r="F139" s="6">
        <v>46116</v>
      </c>
      <c r="G139" s="25" t="s">
        <v>20</v>
      </c>
      <c r="H139" s="25" t="s">
        <v>21</v>
      </c>
      <c r="I139" s="4" t="s">
        <v>22</v>
      </c>
      <c r="J139" s="4" t="s">
        <v>36</v>
      </c>
      <c r="K139" s="4"/>
    </row>
    <row r="140" spans="1:11" hidden="1">
      <c r="A140" s="4" t="s">
        <v>96</v>
      </c>
      <c r="B140" s="4" t="s">
        <v>47</v>
      </c>
      <c r="C140" s="4">
        <v>5</v>
      </c>
      <c r="D140" s="33">
        <f>IFERROR(VLOOKUP(Easter[[#This Row],[Product Name]],'Lookup sheet'!$A$1:$D$31,4,FALSE),"")</f>
        <v>20</v>
      </c>
      <c r="E140" s="5">
        <f>IFERROR(Easter[[#This Row],[Price (Per Unit ₹)]]*Easter[[#This Row],[Quantity ]],"")</f>
        <v>100</v>
      </c>
      <c r="F140" s="6">
        <v>46116</v>
      </c>
      <c r="G140" s="25" t="s">
        <v>20</v>
      </c>
      <c r="H140" s="4" t="s">
        <v>21</v>
      </c>
      <c r="I140" s="4" t="s">
        <v>45</v>
      </c>
      <c r="J140" s="4" t="s">
        <v>46</v>
      </c>
      <c r="K140" s="4"/>
    </row>
    <row r="141" spans="1:11" hidden="1">
      <c r="A141" s="4" t="s">
        <v>96</v>
      </c>
      <c r="B141" s="4" t="s">
        <v>25</v>
      </c>
      <c r="C141" s="4">
        <v>2</v>
      </c>
      <c r="D141" s="33">
        <f>IFERROR(VLOOKUP(Easter[[#This Row],[Product Name]],'Lookup sheet'!$A$1:$D$31,4,FALSE),"")</f>
        <v>55</v>
      </c>
      <c r="E141" s="5">
        <f>IFERROR(Easter[[#This Row],[Price (Per Unit ₹)]]*Easter[[#This Row],[Quantity ]],"")</f>
        <v>110</v>
      </c>
      <c r="F141" s="6">
        <v>46116</v>
      </c>
      <c r="G141" s="25" t="s">
        <v>20</v>
      </c>
      <c r="H141" s="4" t="s">
        <v>21</v>
      </c>
      <c r="I141" s="4" t="s">
        <v>45</v>
      </c>
      <c r="J141" s="4" t="s">
        <v>46</v>
      </c>
      <c r="K141" s="4"/>
    </row>
    <row r="142" spans="1:11" hidden="1">
      <c r="A142" s="4" t="s">
        <v>96</v>
      </c>
      <c r="B142" s="4" t="s">
        <v>62</v>
      </c>
      <c r="C142" s="4">
        <v>5</v>
      </c>
      <c r="D142" s="33">
        <f>IFERROR(VLOOKUP(Easter[[#This Row],[Product Name]],'Lookup sheet'!$A$1:$D$31,4,FALSE),"")</f>
        <v>25</v>
      </c>
      <c r="E142" s="5">
        <f>IFERROR(Easter[[#This Row],[Price (Per Unit ₹)]]*Easter[[#This Row],[Quantity ]],"")</f>
        <v>125</v>
      </c>
      <c r="F142" s="6">
        <v>46116</v>
      </c>
      <c r="G142" s="25" t="s">
        <v>20</v>
      </c>
      <c r="H142" s="4" t="s">
        <v>21</v>
      </c>
      <c r="I142" s="4" t="s">
        <v>45</v>
      </c>
      <c r="J142" s="4" t="s">
        <v>46</v>
      </c>
      <c r="K142" s="4"/>
    </row>
    <row r="143" spans="1:11" hidden="1">
      <c r="A143" s="4" t="s">
        <v>97</v>
      </c>
      <c r="B143" s="4" t="s">
        <v>55</v>
      </c>
      <c r="C143" s="4">
        <v>2</v>
      </c>
      <c r="D143" s="71">
        <f>IFERROR(VLOOKUP(Easter[[#This Row],[Product Name]],'Lookup sheet'!$A$1:$D$31,4,FALSE),"")</f>
        <v>130</v>
      </c>
      <c r="E143" s="5">
        <f>IFERROR(Easter[[#This Row],[Price (Per Unit ₹)]]*Easter[[#This Row],[Quantity ]],"")</f>
        <v>260</v>
      </c>
      <c r="F143" s="6">
        <v>46116</v>
      </c>
      <c r="G143" s="25" t="s">
        <v>20</v>
      </c>
      <c r="H143" s="4" t="s">
        <v>21</v>
      </c>
      <c r="I143" s="4" t="s">
        <v>22</v>
      </c>
      <c r="J143" s="4" t="s">
        <v>23</v>
      </c>
      <c r="K143" s="4"/>
    </row>
    <row r="144" spans="1:11">
      <c r="A144" s="4" t="s">
        <v>98</v>
      </c>
      <c r="B144" s="4" t="s">
        <v>64</v>
      </c>
      <c r="C144" s="4">
        <v>1</v>
      </c>
      <c r="D144" s="33">
        <f>IFERROR(VLOOKUP(Easter[[#This Row],[Product Name]],'Lookup sheet'!$A$1:$D$31,4,FALSE),"")</f>
        <v>110</v>
      </c>
      <c r="E144" s="5">
        <f>IFERROR(Easter[[#This Row],[Price (Per Unit ₹)]]*Easter[[#This Row],[Quantity ]],"")</f>
        <v>110</v>
      </c>
      <c r="F144" s="6">
        <v>46117</v>
      </c>
      <c r="G144" s="23" t="s">
        <v>20</v>
      </c>
      <c r="H144" s="4" t="s">
        <v>21</v>
      </c>
      <c r="I144" s="4" t="s">
        <v>22</v>
      </c>
      <c r="J144" s="4" t="s">
        <v>36</v>
      </c>
      <c r="K144" s="4"/>
    </row>
    <row r="145" spans="1:11" hidden="1">
      <c r="A145" s="4" t="s">
        <v>99</v>
      </c>
      <c r="B145" s="4" t="s">
        <v>19</v>
      </c>
      <c r="C145" s="4">
        <v>13</v>
      </c>
      <c r="D145" s="71">
        <f>IFERROR(VLOOKUP(Easter[[#This Row],[Product Name]],'Lookup sheet'!$A$1:$D$31,4,FALSE),"")</f>
        <v>60</v>
      </c>
      <c r="E145" s="5">
        <f>IFERROR(Easter[[#This Row],[Price (Per Unit ₹)]]*Easter[[#This Row],[Quantity ]],"")</f>
        <v>780</v>
      </c>
      <c r="F145" s="6">
        <v>46116</v>
      </c>
      <c r="G145" s="25" t="s">
        <v>20</v>
      </c>
      <c r="H145" s="4" t="s">
        <v>21</v>
      </c>
      <c r="I145" s="4" t="s">
        <v>22</v>
      </c>
      <c r="J145" s="4" t="s">
        <v>23</v>
      </c>
      <c r="K145" s="4"/>
    </row>
    <row r="146" spans="1:11" hidden="1">
      <c r="A146" s="4" t="s">
        <v>99</v>
      </c>
      <c r="B146" s="4" t="s">
        <v>27</v>
      </c>
      <c r="C146" s="4">
        <v>13</v>
      </c>
      <c r="D146" s="71">
        <f>IFERROR(VLOOKUP(Easter[[#This Row],[Product Name]],'Lookup sheet'!$A$1:$D$31,4,FALSE),"")</f>
        <v>65</v>
      </c>
      <c r="E146" s="5">
        <f>IFERROR(Easter[[#This Row],[Price (Per Unit ₹)]]*Easter[[#This Row],[Quantity ]],"")</f>
        <v>845</v>
      </c>
      <c r="F146" s="6">
        <v>46116</v>
      </c>
      <c r="G146" s="25" t="s">
        <v>20</v>
      </c>
      <c r="H146" s="4" t="s">
        <v>21</v>
      </c>
      <c r="I146" s="4" t="s">
        <v>22</v>
      </c>
      <c r="J146" s="4" t="s">
        <v>23</v>
      </c>
      <c r="K146" s="4"/>
    </row>
    <row r="147" spans="1:11" hidden="1">
      <c r="A147" s="4" t="s">
        <v>99</v>
      </c>
      <c r="B147" s="4" t="s">
        <v>28</v>
      </c>
      <c r="C147" s="4">
        <v>13</v>
      </c>
      <c r="D147" s="71">
        <f>IFERROR(VLOOKUP(Easter[[#This Row],[Product Name]],'Lookup sheet'!$A$1:$D$31,4,FALSE),"")</f>
        <v>60</v>
      </c>
      <c r="E147" s="5">
        <f>IFERROR(Easter[[#This Row],[Price (Per Unit ₹)]]*Easter[[#This Row],[Quantity ]],"")</f>
        <v>780</v>
      </c>
      <c r="F147" s="6">
        <v>46116</v>
      </c>
      <c r="G147" s="25" t="s">
        <v>20</v>
      </c>
      <c r="H147" s="4" t="s">
        <v>21</v>
      </c>
      <c r="I147" s="4" t="s">
        <v>22</v>
      </c>
      <c r="J147" s="4" t="s">
        <v>23</v>
      </c>
      <c r="K147" s="4"/>
    </row>
    <row r="148" spans="1:11" hidden="1">
      <c r="A148" s="4" t="s">
        <v>99</v>
      </c>
      <c r="B148" s="4" t="s">
        <v>31</v>
      </c>
      <c r="C148" s="4">
        <v>13</v>
      </c>
      <c r="D148" s="71">
        <f>IFERROR(VLOOKUP(Easter[[#This Row],[Product Name]],'Lookup sheet'!$A$1:$D$31,4,FALSE),"")</f>
        <v>55</v>
      </c>
      <c r="E148" s="5">
        <f>IFERROR(Easter[[#This Row],[Price (Per Unit ₹)]]*Easter[[#This Row],[Quantity ]],"")</f>
        <v>715</v>
      </c>
      <c r="F148" s="6">
        <v>46116</v>
      </c>
      <c r="G148" s="25" t="s">
        <v>20</v>
      </c>
      <c r="H148" s="4" t="s">
        <v>21</v>
      </c>
      <c r="I148" s="4" t="s">
        <v>22</v>
      </c>
      <c r="J148" s="4" t="s">
        <v>23</v>
      </c>
      <c r="K148" s="4"/>
    </row>
    <row r="149" spans="1:11" hidden="1">
      <c r="A149" s="4" t="s">
        <v>99</v>
      </c>
      <c r="B149" s="4" t="s">
        <v>92</v>
      </c>
      <c r="C149" s="4">
        <v>10</v>
      </c>
      <c r="D149" s="71">
        <f>IFERROR(VLOOKUP(Easter[[#This Row],[Product Name]],'Lookup sheet'!$A$1:$D$31,4,FALSE),"")</f>
        <v>50</v>
      </c>
      <c r="E149" s="5">
        <f>IFERROR(Easter[[#This Row],[Price (Per Unit ₹)]]*Easter[[#This Row],[Quantity ]],"")</f>
        <v>500</v>
      </c>
      <c r="F149" s="6">
        <v>46116</v>
      </c>
      <c r="G149" s="25" t="s">
        <v>20</v>
      </c>
      <c r="H149" s="4" t="s">
        <v>21</v>
      </c>
      <c r="I149" s="4" t="s">
        <v>22</v>
      </c>
      <c r="J149" s="4" t="s">
        <v>23</v>
      </c>
      <c r="K149" s="4"/>
    </row>
    <row r="150" spans="1:11" hidden="1">
      <c r="A150" s="4" t="s">
        <v>99</v>
      </c>
      <c r="B150" s="4" t="s">
        <v>25</v>
      </c>
      <c r="C150" s="4">
        <v>3</v>
      </c>
      <c r="D150" s="71">
        <f>IFERROR(VLOOKUP(Easter[[#This Row],[Product Name]],'Lookup sheet'!$A$1:$D$31,4,FALSE),"")</f>
        <v>55</v>
      </c>
      <c r="E150" s="5">
        <f>IFERROR(Easter[[#This Row],[Price (Per Unit ₹)]]*Easter[[#This Row],[Quantity ]],"")</f>
        <v>165</v>
      </c>
      <c r="F150" s="6">
        <v>46116</v>
      </c>
      <c r="G150" s="25" t="s">
        <v>20</v>
      </c>
      <c r="H150" s="4" t="s">
        <v>21</v>
      </c>
      <c r="I150" s="4" t="s">
        <v>22</v>
      </c>
      <c r="J150" s="4" t="s">
        <v>23</v>
      </c>
      <c r="K150" s="4"/>
    </row>
    <row r="151" spans="1:11" hidden="1">
      <c r="A151" s="4" t="s">
        <v>100</v>
      </c>
      <c r="B151" s="4" t="s">
        <v>57</v>
      </c>
      <c r="C151" s="4">
        <v>4</v>
      </c>
      <c r="D151" s="71">
        <f>IFERROR(VLOOKUP(Easter[[#This Row],[Product Name]],'Lookup sheet'!$A$1:$D$31,4,FALSE),"")</f>
        <v>40</v>
      </c>
      <c r="E151" s="5">
        <f>IFERROR(Easter[[#This Row],[Price (Per Unit ₹)]]*Easter[[#This Row],[Quantity ]],"")</f>
        <v>160</v>
      </c>
      <c r="F151" s="6">
        <v>46114</v>
      </c>
      <c r="G151" s="25" t="s">
        <v>20</v>
      </c>
      <c r="H151" s="4" t="s">
        <v>21</v>
      </c>
      <c r="I151" s="4" t="s">
        <v>45</v>
      </c>
      <c r="J151" s="4" t="s">
        <v>46</v>
      </c>
      <c r="K151" s="4"/>
    </row>
    <row r="152" spans="1:11" hidden="1">
      <c r="A152" s="4" t="s">
        <v>100</v>
      </c>
      <c r="B152" s="4" t="s">
        <v>24</v>
      </c>
      <c r="C152" s="4">
        <v>3</v>
      </c>
      <c r="D152" s="71">
        <f>IFERROR(VLOOKUP(Easter[[#This Row],[Product Name]],'Lookup sheet'!$A$1:$D$31,4,FALSE),"")</f>
        <v>40</v>
      </c>
      <c r="E152" s="5">
        <f>IFERROR(Easter[[#This Row],[Price (Per Unit ₹)]]*Easter[[#This Row],[Quantity ]],"")</f>
        <v>120</v>
      </c>
      <c r="F152" s="6">
        <v>46114</v>
      </c>
      <c r="G152" s="25" t="s">
        <v>20</v>
      </c>
      <c r="H152" s="4" t="s">
        <v>21</v>
      </c>
      <c r="I152" s="4" t="s">
        <v>45</v>
      </c>
      <c r="J152" s="4" t="s">
        <v>46</v>
      </c>
      <c r="K152" s="4"/>
    </row>
    <row r="153" spans="1:11" hidden="1">
      <c r="A153" s="4" t="s">
        <v>100</v>
      </c>
      <c r="B153" s="4" t="s">
        <v>35</v>
      </c>
      <c r="C153" s="4">
        <v>8</v>
      </c>
      <c r="D153" s="71">
        <f>IFERROR(VLOOKUP(Easter[[#This Row],[Product Name]],'Lookup sheet'!$A$1:$D$31,4,FALSE),"")</f>
        <v>150</v>
      </c>
      <c r="E153" s="5">
        <f>IFERROR(Easter[[#This Row],[Price (Per Unit ₹)]]*Easter[[#This Row],[Quantity ]],"")</f>
        <v>1200</v>
      </c>
      <c r="F153" s="6">
        <v>46114</v>
      </c>
      <c r="G153" s="25" t="s">
        <v>20</v>
      </c>
      <c r="H153" s="4" t="s">
        <v>21</v>
      </c>
      <c r="I153" s="4" t="s">
        <v>45</v>
      </c>
      <c r="J153" s="4" t="s">
        <v>46</v>
      </c>
      <c r="K153" s="4"/>
    </row>
    <row r="154" spans="1:11">
      <c r="A154" s="4" t="s">
        <v>101</v>
      </c>
      <c r="B154" s="4" t="s">
        <v>55</v>
      </c>
      <c r="C154" s="4">
        <v>15</v>
      </c>
      <c r="D154" s="33">
        <f>IFERROR(VLOOKUP(Easter[[#This Row],[Product Name]],'Lookup sheet'!$A$1:$D$31,4,FALSE),"")</f>
        <v>130</v>
      </c>
      <c r="E154" s="5">
        <f>IFERROR(Easter[[#This Row],[Price (Per Unit ₹)]]*Easter[[#This Row],[Quantity ]],"")</f>
        <v>1950</v>
      </c>
      <c r="F154" s="6">
        <v>46115</v>
      </c>
      <c r="G154" s="25" t="s">
        <v>20</v>
      </c>
      <c r="H154" s="4" t="s">
        <v>21</v>
      </c>
      <c r="I154" s="4" t="s">
        <v>22</v>
      </c>
      <c r="J154" s="4" t="s">
        <v>36</v>
      </c>
      <c r="K154" s="4"/>
    </row>
    <row r="155" spans="1:11">
      <c r="A155" s="4" t="s">
        <v>101</v>
      </c>
      <c r="B155" s="4" t="s">
        <v>57</v>
      </c>
      <c r="C155" s="4">
        <v>1</v>
      </c>
      <c r="D155" s="33">
        <f>IFERROR(VLOOKUP(Easter[[#This Row],[Product Name]],'Lookup sheet'!$A$1:$D$31,4,FALSE),"")</f>
        <v>40</v>
      </c>
      <c r="E155" s="5">
        <f>IFERROR(Easter[[#This Row],[Price (Per Unit ₹)]]*Easter[[#This Row],[Quantity ]],"")</f>
        <v>40</v>
      </c>
      <c r="F155" s="6">
        <v>46115</v>
      </c>
      <c r="G155" s="25" t="s">
        <v>20</v>
      </c>
      <c r="H155" s="4" t="s">
        <v>21</v>
      </c>
      <c r="I155" s="4" t="s">
        <v>22</v>
      </c>
      <c r="J155" s="4" t="s">
        <v>36</v>
      </c>
      <c r="K155" s="4"/>
    </row>
    <row r="156" spans="1:11">
      <c r="A156" s="4" t="s">
        <v>101</v>
      </c>
      <c r="B156" s="4" t="s">
        <v>24</v>
      </c>
      <c r="C156" s="4">
        <v>1</v>
      </c>
      <c r="D156" s="33">
        <f>IFERROR(VLOOKUP(Easter[[#This Row],[Product Name]],'Lookup sheet'!$A$1:$D$31,4,FALSE),"")</f>
        <v>40</v>
      </c>
      <c r="E156" s="5">
        <f>IFERROR(Easter[[#This Row],[Price (Per Unit ₹)]]*Easter[[#This Row],[Quantity ]],"")</f>
        <v>40</v>
      </c>
      <c r="F156" s="6">
        <v>46115</v>
      </c>
      <c r="G156" s="25" t="s">
        <v>20</v>
      </c>
      <c r="H156" s="4" t="s">
        <v>21</v>
      </c>
      <c r="I156" s="4" t="s">
        <v>22</v>
      </c>
      <c r="J156" s="4" t="s">
        <v>36</v>
      </c>
      <c r="K156" s="4"/>
    </row>
    <row r="157" spans="1:11">
      <c r="A157" s="4" t="s">
        <v>101</v>
      </c>
      <c r="B157" s="4" t="s">
        <v>59</v>
      </c>
      <c r="C157" s="4">
        <v>9</v>
      </c>
      <c r="D157" s="33">
        <f>IFERROR(VLOOKUP(Easter[[#This Row],[Product Name]],'Lookup sheet'!$A$1:$D$31,4,FALSE),"")</f>
        <v>130</v>
      </c>
      <c r="E157" s="5">
        <f>IFERROR(Easter[[#This Row],[Price (Per Unit ₹)]]*Easter[[#This Row],[Quantity ]],"")</f>
        <v>1170</v>
      </c>
      <c r="F157" s="6">
        <v>46115</v>
      </c>
      <c r="G157" s="25" t="s">
        <v>20</v>
      </c>
      <c r="H157" s="4" t="s">
        <v>21</v>
      </c>
      <c r="I157" s="4" t="s">
        <v>22</v>
      </c>
      <c r="J157" s="4" t="s">
        <v>36</v>
      </c>
      <c r="K157" s="4"/>
    </row>
    <row r="158" spans="1:11">
      <c r="A158" s="4" t="s">
        <v>101</v>
      </c>
      <c r="B158" s="4" t="s">
        <v>60</v>
      </c>
      <c r="C158" s="4">
        <v>9</v>
      </c>
      <c r="D158" s="33">
        <f>IFERROR(VLOOKUP(Easter[[#This Row],[Product Name]],'Lookup sheet'!$A$1:$D$31,4,FALSE),"")</f>
        <v>130</v>
      </c>
      <c r="E158" s="5">
        <f>IFERROR(Easter[[#This Row],[Price (Per Unit ₹)]]*Easter[[#This Row],[Quantity ]],"")</f>
        <v>1170</v>
      </c>
      <c r="F158" s="6">
        <v>46115</v>
      </c>
      <c r="G158" s="25" t="s">
        <v>20</v>
      </c>
      <c r="H158" s="4" t="s">
        <v>21</v>
      </c>
      <c r="I158" s="4" t="s">
        <v>22</v>
      </c>
      <c r="J158" s="4" t="s">
        <v>36</v>
      </c>
      <c r="K158" s="4"/>
    </row>
    <row r="159" spans="1:11" hidden="1">
      <c r="A159" s="4" t="s">
        <v>102</v>
      </c>
      <c r="B159" s="4" t="s">
        <v>35</v>
      </c>
      <c r="C159" s="4">
        <v>1</v>
      </c>
      <c r="D159" s="33">
        <f>IFERROR(VLOOKUP(Easter[[#This Row],[Product Name]],'Lookup sheet'!$A$1:$D$31,4,FALSE),"")</f>
        <v>150</v>
      </c>
      <c r="E159" s="5">
        <f>IFERROR(Easter[[#This Row],[Price (Per Unit ₹)]]*Easter[[#This Row],[Quantity ]],"")</f>
        <v>150</v>
      </c>
      <c r="F159" s="6">
        <v>46116</v>
      </c>
      <c r="G159" s="25" t="s">
        <v>20</v>
      </c>
      <c r="H159" s="4" t="s">
        <v>21</v>
      </c>
      <c r="I159" s="4" t="s">
        <v>22</v>
      </c>
      <c r="J159" s="4" t="s">
        <v>23</v>
      </c>
      <c r="K159" s="4"/>
    </row>
    <row r="160" spans="1:11" hidden="1">
      <c r="A160" s="4" t="s">
        <v>102</v>
      </c>
      <c r="B160" s="4" t="s">
        <v>31</v>
      </c>
      <c r="C160" s="4">
        <v>3</v>
      </c>
      <c r="D160" s="33">
        <f>IFERROR(VLOOKUP(Easter[[#This Row],[Product Name]],'Lookup sheet'!$A$1:$D$31,4,FALSE),"")</f>
        <v>55</v>
      </c>
      <c r="E160" s="5">
        <f>IFERROR(Easter[[#This Row],[Price (Per Unit ₹)]]*Easter[[#This Row],[Quantity ]],"")</f>
        <v>165</v>
      </c>
      <c r="F160" s="6">
        <v>46116</v>
      </c>
      <c r="G160" s="25" t="s">
        <v>20</v>
      </c>
      <c r="H160" s="4" t="s">
        <v>21</v>
      </c>
      <c r="I160" s="4" t="s">
        <v>22</v>
      </c>
      <c r="J160" s="4" t="s">
        <v>23</v>
      </c>
      <c r="K160" s="4"/>
    </row>
    <row r="161" spans="1:11" hidden="1">
      <c r="A161" s="4" t="s">
        <v>102</v>
      </c>
      <c r="B161" s="4" t="s">
        <v>25</v>
      </c>
      <c r="C161" s="4">
        <v>2</v>
      </c>
      <c r="D161" s="33">
        <f>IFERROR(VLOOKUP(Easter[[#This Row],[Product Name]],'Lookup sheet'!$A$1:$D$31,4,FALSE),"")</f>
        <v>55</v>
      </c>
      <c r="E161" s="5">
        <f>IFERROR(Easter[[#This Row],[Price (Per Unit ₹)]]*Easter[[#This Row],[Quantity ]],"")</f>
        <v>110</v>
      </c>
      <c r="F161" s="6">
        <v>46116</v>
      </c>
      <c r="G161" s="25" t="s">
        <v>20</v>
      </c>
      <c r="H161" s="4" t="s">
        <v>21</v>
      </c>
      <c r="I161" s="4" t="s">
        <v>22</v>
      </c>
      <c r="J161" s="4" t="s">
        <v>23</v>
      </c>
      <c r="K161" s="4"/>
    </row>
    <row r="162" spans="1:11" hidden="1">
      <c r="A162" s="4" t="s">
        <v>103</v>
      </c>
      <c r="B162" s="4" t="s">
        <v>35</v>
      </c>
      <c r="C162" s="4">
        <v>5</v>
      </c>
      <c r="D162" s="71">
        <f>IFERROR(VLOOKUP(Easter[[#This Row],[Product Name]],'Lookup sheet'!$A$1:$D$31,4,FALSE),"")</f>
        <v>150</v>
      </c>
      <c r="E162" s="5">
        <f>IFERROR(Easter[[#This Row],[Price (Per Unit ₹)]]*Easter[[#This Row],[Quantity ]],"")</f>
        <v>750</v>
      </c>
      <c r="F162" s="6">
        <v>46116</v>
      </c>
      <c r="G162" s="25" t="s">
        <v>20</v>
      </c>
      <c r="H162" s="4" t="s">
        <v>21</v>
      </c>
      <c r="I162" s="4" t="s">
        <v>22</v>
      </c>
      <c r="J162" s="4" t="s">
        <v>23</v>
      </c>
      <c r="K162" s="4"/>
    </row>
    <row r="163" spans="1:11">
      <c r="A163" s="4" t="s">
        <v>103</v>
      </c>
      <c r="B163" s="4" t="s">
        <v>25</v>
      </c>
      <c r="C163" s="4">
        <v>10</v>
      </c>
      <c r="D163" s="71">
        <f>IFERROR(VLOOKUP(Easter[[#This Row],[Product Name]],'Lookup sheet'!$A$1:$D$31,4,FALSE),"")</f>
        <v>55</v>
      </c>
      <c r="E163" s="5">
        <f>IFERROR(Easter[[#This Row],[Price (Per Unit ₹)]]*Easter[[#This Row],[Quantity ]],"")</f>
        <v>550</v>
      </c>
      <c r="F163" s="6">
        <v>46116</v>
      </c>
      <c r="G163" s="25" t="s">
        <v>20</v>
      </c>
      <c r="H163" s="4" t="s">
        <v>21</v>
      </c>
      <c r="I163" s="4" t="s">
        <v>22</v>
      </c>
      <c r="J163" s="4" t="s">
        <v>36</v>
      </c>
      <c r="K163" s="4"/>
    </row>
    <row r="164" spans="1:11" hidden="1">
      <c r="A164" s="4" t="s">
        <v>104</v>
      </c>
      <c r="B164" s="4" t="s">
        <v>30</v>
      </c>
      <c r="C164" s="4">
        <v>4</v>
      </c>
      <c r="D164" s="33">
        <f>IFERROR(VLOOKUP(Easter[[#This Row],[Product Name]],'Lookup sheet'!$A$1:$D$31,4,FALSE),"")</f>
        <v>60</v>
      </c>
      <c r="E164" s="5">
        <f>IFERROR(Easter[[#This Row],[Price (Per Unit ₹)]]*Easter[[#This Row],[Quantity ]],"")</f>
        <v>240</v>
      </c>
      <c r="F164" s="6">
        <v>46116</v>
      </c>
      <c r="G164" s="25" t="s">
        <v>20</v>
      </c>
      <c r="H164" s="4" t="s">
        <v>21</v>
      </c>
      <c r="I164" s="4" t="s">
        <v>22</v>
      </c>
      <c r="J164" s="4" t="s">
        <v>23</v>
      </c>
      <c r="K164" s="4"/>
    </row>
    <row r="165" spans="1:11" hidden="1">
      <c r="A165" s="4" t="s">
        <v>104</v>
      </c>
      <c r="B165" s="4" t="s">
        <v>27</v>
      </c>
      <c r="C165" s="4">
        <v>3</v>
      </c>
      <c r="D165" s="33">
        <f>IFERROR(VLOOKUP(Easter[[#This Row],[Product Name]],'Lookup sheet'!$A$1:$D$31,4,FALSE),"")</f>
        <v>65</v>
      </c>
      <c r="E165" s="5">
        <f>IFERROR(Easter[[#This Row],[Price (Per Unit ₹)]]*Easter[[#This Row],[Quantity ]],"")</f>
        <v>195</v>
      </c>
      <c r="F165" s="6">
        <v>46116</v>
      </c>
      <c r="G165" s="25" t="s">
        <v>20</v>
      </c>
      <c r="H165" s="4" t="s">
        <v>21</v>
      </c>
      <c r="I165" s="4" t="s">
        <v>22</v>
      </c>
      <c r="J165" s="4" t="s">
        <v>23</v>
      </c>
      <c r="K165" s="4"/>
    </row>
    <row r="166" spans="1:11" hidden="1">
      <c r="A166" s="4" t="s">
        <v>104</v>
      </c>
      <c r="B166" s="4" t="s">
        <v>28</v>
      </c>
      <c r="C166" s="4">
        <v>3</v>
      </c>
      <c r="D166" s="33">
        <f>IFERROR(VLOOKUP(Easter[[#This Row],[Product Name]],'Lookup sheet'!$A$1:$D$31,4,FALSE),"")</f>
        <v>60</v>
      </c>
      <c r="E166" s="5">
        <f>IFERROR(Easter[[#This Row],[Price (Per Unit ₹)]]*Easter[[#This Row],[Quantity ]],"")</f>
        <v>180</v>
      </c>
      <c r="F166" s="6">
        <v>46116</v>
      </c>
      <c r="G166" s="25" t="s">
        <v>20</v>
      </c>
      <c r="H166" s="4" t="s">
        <v>21</v>
      </c>
      <c r="I166" s="4" t="s">
        <v>22</v>
      </c>
      <c r="J166" s="4" t="s">
        <v>23</v>
      </c>
      <c r="K166" s="4"/>
    </row>
    <row r="167" spans="1:11">
      <c r="A167" s="4" t="s">
        <v>105</v>
      </c>
      <c r="B167" s="4" t="s">
        <v>27</v>
      </c>
      <c r="C167" s="4">
        <v>2</v>
      </c>
      <c r="D167" s="33">
        <f>IFERROR(VLOOKUP(Easter[[#This Row],[Product Name]],'Lookup sheet'!$A$1:$D$31,4,FALSE),"")</f>
        <v>65</v>
      </c>
      <c r="E167" s="5">
        <f>IFERROR(Easter[[#This Row],[Price (Per Unit ₹)]]*Easter[[#This Row],[Quantity ]],"")</f>
        <v>130</v>
      </c>
      <c r="F167" s="6">
        <v>46114</v>
      </c>
      <c r="G167" s="25" t="s">
        <v>20</v>
      </c>
      <c r="H167" s="4" t="s">
        <v>21</v>
      </c>
      <c r="I167" s="4" t="s">
        <v>45</v>
      </c>
      <c r="J167" s="4" t="s">
        <v>36</v>
      </c>
      <c r="K167" s="4"/>
    </row>
    <row r="168" spans="1:11">
      <c r="A168" s="4" t="s">
        <v>105</v>
      </c>
      <c r="B168" s="4" t="s">
        <v>24</v>
      </c>
      <c r="C168" s="4">
        <v>2</v>
      </c>
      <c r="D168" s="33">
        <f>IFERROR(VLOOKUP(Easter[[#This Row],[Product Name]],'Lookup sheet'!$A$1:$D$31,4,FALSE),"")</f>
        <v>40</v>
      </c>
      <c r="E168" s="5">
        <f>IFERROR(Easter[[#This Row],[Price (Per Unit ₹)]]*Easter[[#This Row],[Quantity ]],"")</f>
        <v>80</v>
      </c>
      <c r="F168" s="6">
        <v>46114</v>
      </c>
      <c r="G168" s="25" t="s">
        <v>20</v>
      </c>
      <c r="H168" s="4" t="s">
        <v>21</v>
      </c>
      <c r="I168" s="4" t="s">
        <v>45</v>
      </c>
      <c r="J168" s="4" t="s">
        <v>36</v>
      </c>
      <c r="K168" s="4"/>
    </row>
    <row r="169" spans="1:11">
      <c r="A169" s="4" t="s">
        <v>105</v>
      </c>
      <c r="B169" s="4" t="s">
        <v>28</v>
      </c>
      <c r="C169" s="4">
        <v>1</v>
      </c>
      <c r="D169" s="33">
        <f>IFERROR(VLOOKUP(Easter[[#This Row],[Product Name]],'Lookup sheet'!$A$1:$D$31,4,FALSE),"")</f>
        <v>60</v>
      </c>
      <c r="E169" s="5">
        <f>IFERROR(Easter[[#This Row],[Price (Per Unit ₹)]]*Easter[[#This Row],[Quantity ]],"")</f>
        <v>60</v>
      </c>
      <c r="F169" s="6">
        <v>46114</v>
      </c>
      <c r="G169" s="25" t="s">
        <v>20</v>
      </c>
      <c r="H169" s="4" t="s">
        <v>21</v>
      </c>
      <c r="I169" s="4" t="s">
        <v>45</v>
      </c>
      <c r="J169" s="4" t="s">
        <v>36</v>
      </c>
      <c r="K169" s="4"/>
    </row>
    <row r="170" spans="1:11">
      <c r="A170" s="4" t="s">
        <v>105</v>
      </c>
      <c r="B170" s="4" t="s">
        <v>35</v>
      </c>
      <c r="C170" s="4">
        <v>1</v>
      </c>
      <c r="D170" s="33">
        <f>IFERROR(VLOOKUP(Easter[[#This Row],[Product Name]],'Lookup sheet'!$A$1:$D$31,4,FALSE),"")</f>
        <v>150</v>
      </c>
      <c r="E170" s="5">
        <f>IFERROR(Easter[[#This Row],[Price (Per Unit ₹)]]*Easter[[#This Row],[Quantity ]],"")</f>
        <v>150</v>
      </c>
      <c r="F170" s="6">
        <v>46114</v>
      </c>
      <c r="G170" s="25" t="s">
        <v>20</v>
      </c>
      <c r="H170" s="4" t="s">
        <v>21</v>
      </c>
      <c r="I170" s="4" t="s">
        <v>45</v>
      </c>
      <c r="J170" s="4" t="s">
        <v>36</v>
      </c>
      <c r="K170" s="4"/>
    </row>
    <row r="171" spans="1:11" hidden="1">
      <c r="A171" s="4" t="s">
        <v>105</v>
      </c>
      <c r="B171" s="4" t="s">
        <v>31</v>
      </c>
      <c r="C171" s="4">
        <v>5</v>
      </c>
      <c r="D171" s="33">
        <f>IFERROR(VLOOKUP(Easter[[#This Row],[Product Name]],'Lookup sheet'!$A$1:$D$31,4,FALSE),"")</f>
        <v>55</v>
      </c>
      <c r="E171" s="5">
        <f>IFERROR(Easter[[#This Row],[Price (Per Unit ₹)]]*Easter[[#This Row],[Quantity ]],"")</f>
        <v>275</v>
      </c>
      <c r="F171" s="6">
        <v>46114</v>
      </c>
      <c r="G171" s="25" t="s">
        <v>20</v>
      </c>
      <c r="H171" s="4" t="s">
        <v>21</v>
      </c>
      <c r="I171" s="4" t="s">
        <v>45</v>
      </c>
      <c r="J171" s="4" t="s">
        <v>46</v>
      </c>
      <c r="K171" s="4"/>
    </row>
    <row r="172" spans="1:11">
      <c r="A172" s="4" t="s">
        <v>105</v>
      </c>
      <c r="B172" s="4" t="s">
        <v>25</v>
      </c>
      <c r="C172" s="4">
        <v>2</v>
      </c>
      <c r="D172" s="33">
        <f>IFERROR(VLOOKUP(Easter[[#This Row],[Product Name]],'Lookup sheet'!$A$1:$D$31,4,FALSE),"")</f>
        <v>55</v>
      </c>
      <c r="E172" s="5">
        <f>IFERROR(Easter[[#This Row],[Price (Per Unit ₹)]]*Easter[[#This Row],[Quantity ]],"")</f>
        <v>110</v>
      </c>
      <c r="F172" s="6">
        <v>46114</v>
      </c>
      <c r="G172" s="25" t="s">
        <v>20</v>
      </c>
      <c r="H172" s="4" t="s">
        <v>21</v>
      </c>
      <c r="I172" s="4" t="s">
        <v>45</v>
      </c>
      <c r="J172" s="4" t="s">
        <v>36</v>
      </c>
      <c r="K172" s="4"/>
    </row>
    <row r="173" spans="1:11" hidden="1">
      <c r="A173" s="4" t="s">
        <v>106</v>
      </c>
      <c r="B173" s="4" t="s">
        <v>56</v>
      </c>
      <c r="C173" s="4">
        <v>98</v>
      </c>
      <c r="D173" s="71">
        <f>IFERROR(VLOOKUP(Easter[[#This Row],[Product Name]],'Lookup sheet'!$A$1:$D$31,4,FALSE),"")</f>
        <v>110</v>
      </c>
      <c r="E173" s="5">
        <f>IFERROR(Easter[[#This Row],[Price (Per Unit ₹)]]*Easter[[#This Row],[Quantity ]],"")</f>
        <v>10780</v>
      </c>
      <c r="F173" s="6">
        <v>46117</v>
      </c>
      <c r="G173" s="25" t="s">
        <v>20</v>
      </c>
      <c r="H173" s="4" t="s">
        <v>21</v>
      </c>
      <c r="I173" s="4" t="s">
        <v>22</v>
      </c>
      <c r="J173" s="4" t="s">
        <v>23</v>
      </c>
      <c r="K173" s="4"/>
    </row>
    <row r="174" spans="1:11" hidden="1">
      <c r="A174" s="4" t="s">
        <v>106</v>
      </c>
      <c r="B174" s="4" t="s">
        <v>28</v>
      </c>
      <c r="C174" s="4">
        <v>12</v>
      </c>
      <c r="D174" s="71">
        <f>IFERROR(VLOOKUP(Easter[[#This Row],[Product Name]],'Lookup sheet'!$A$1:$D$31,4,FALSE),"")</f>
        <v>60</v>
      </c>
      <c r="E174" s="5">
        <f>IFERROR(Easter[[#This Row],[Price (Per Unit ₹)]]*Easter[[#This Row],[Quantity ]],"")</f>
        <v>720</v>
      </c>
      <c r="F174" s="6">
        <v>46118</v>
      </c>
      <c r="G174" s="25" t="s">
        <v>20</v>
      </c>
      <c r="H174" s="4" t="s">
        <v>21</v>
      </c>
      <c r="I174" s="4" t="s">
        <v>22</v>
      </c>
      <c r="J174" s="4" t="s">
        <v>23</v>
      </c>
      <c r="K174" s="4"/>
    </row>
    <row r="175" spans="1:11" hidden="1">
      <c r="A175" s="4" t="s">
        <v>107</v>
      </c>
      <c r="B175" s="4" t="s">
        <v>19</v>
      </c>
      <c r="C175" s="4">
        <v>4</v>
      </c>
      <c r="D175" s="71">
        <f>IFERROR(VLOOKUP(Easter[[#This Row],[Product Name]],'Lookup sheet'!$A$1:$D$31,4,FALSE),"")</f>
        <v>60</v>
      </c>
      <c r="E175" s="5">
        <f>IFERROR(Easter[[#This Row],[Price (Per Unit ₹)]]*Easter[[#This Row],[Quantity ]],"")</f>
        <v>240</v>
      </c>
      <c r="F175" s="6">
        <v>46116</v>
      </c>
      <c r="G175" s="25" t="s">
        <v>20</v>
      </c>
      <c r="H175" s="4" t="s">
        <v>21</v>
      </c>
      <c r="I175" s="4" t="s">
        <v>45</v>
      </c>
      <c r="J175" s="4" t="s">
        <v>46</v>
      </c>
      <c r="K175" s="4"/>
    </row>
    <row r="176" spans="1:11" hidden="1">
      <c r="A176" s="4" t="s">
        <v>107</v>
      </c>
      <c r="B176" s="4" t="s">
        <v>59</v>
      </c>
      <c r="C176" s="4">
        <v>2</v>
      </c>
      <c r="D176" s="71">
        <f>IFERROR(VLOOKUP(Easter[[#This Row],[Product Name]],'Lookup sheet'!$A$1:$D$31,4,FALSE),"")</f>
        <v>130</v>
      </c>
      <c r="E176" s="5">
        <f>IFERROR(Easter[[#This Row],[Price (Per Unit ₹)]]*Easter[[#This Row],[Quantity ]],"")</f>
        <v>260</v>
      </c>
      <c r="F176" s="6">
        <v>46116</v>
      </c>
      <c r="G176" s="25" t="s">
        <v>20</v>
      </c>
      <c r="H176" s="4" t="s">
        <v>21</v>
      </c>
      <c r="I176" s="4" t="s">
        <v>45</v>
      </c>
      <c r="J176" s="4" t="s">
        <v>46</v>
      </c>
      <c r="K176" s="4"/>
    </row>
    <row r="177" spans="1:11" hidden="1">
      <c r="A177" s="4" t="s">
        <v>107</v>
      </c>
      <c r="B177" s="4" t="s">
        <v>57</v>
      </c>
      <c r="C177" s="4">
        <v>2</v>
      </c>
      <c r="D177" s="71">
        <f>IFERROR(VLOOKUP(Easter[[#This Row],[Product Name]],'Lookup sheet'!$A$1:$D$31,4,FALSE),"")</f>
        <v>40</v>
      </c>
      <c r="E177" s="5">
        <f>IFERROR(Easter[[#This Row],[Price (Per Unit ₹)]]*Easter[[#This Row],[Quantity ]],"")</f>
        <v>80</v>
      </c>
      <c r="F177" s="6">
        <v>46116</v>
      </c>
      <c r="G177" s="25" t="s">
        <v>20</v>
      </c>
      <c r="H177" s="4" t="s">
        <v>21</v>
      </c>
      <c r="I177" s="4" t="s">
        <v>45</v>
      </c>
      <c r="J177" s="4" t="s">
        <v>46</v>
      </c>
      <c r="K177" s="4"/>
    </row>
    <row r="178" spans="1:11" hidden="1">
      <c r="A178" s="4" t="s">
        <v>107</v>
      </c>
      <c r="B178" s="4" t="s">
        <v>24</v>
      </c>
      <c r="C178" s="4">
        <v>2</v>
      </c>
      <c r="D178" s="71">
        <f>IFERROR(VLOOKUP(Easter[[#This Row],[Product Name]],'Lookup sheet'!$A$1:$D$31,4,FALSE),"")</f>
        <v>40</v>
      </c>
      <c r="E178" s="5">
        <f>IFERROR(Easter[[#This Row],[Price (Per Unit ₹)]]*Easter[[#This Row],[Quantity ]],"")</f>
        <v>80</v>
      </c>
      <c r="F178" s="6">
        <v>46116</v>
      </c>
      <c r="G178" s="25" t="s">
        <v>20</v>
      </c>
      <c r="H178" s="4" t="s">
        <v>21</v>
      </c>
      <c r="I178" s="4" t="s">
        <v>45</v>
      </c>
      <c r="J178" s="4" t="s">
        <v>46</v>
      </c>
      <c r="K178" s="4"/>
    </row>
    <row r="179" spans="1:11" hidden="1">
      <c r="A179" s="4" t="s">
        <v>108</v>
      </c>
      <c r="B179" s="4" t="s">
        <v>19</v>
      </c>
      <c r="C179" s="4">
        <v>7</v>
      </c>
      <c r="D179" s="71">
        <f>IFERROR(VLOOKUP(Easter[[#This Row],[Product Name]],'Lookup sheet'!$A$1:$D$31,4,FALSE),"")</f>
        <v>60</v>
      </c>
      <c r="E179" s="5">
        <f>IFERROR(Easter[[#This Row],[Price (Per Unit ₹)]]*Easter[[#This Row],[Quantity ]],"")</f>
        <v>420</v>
      </c>
      <c r="F179" s="6">
        <v>46116</v>
      </c>
      <c r="G179" s="25" t="s">
        <v>20</v>
      </c>
      <c r="H179" s="4" t="s">
        <v>21</v>
      </c>
      <c r="I179" s="4" t="s">
        <v>22</v>
      </c>
      <c r="J179" s="4" t="s">
        <v>23</v>
      </c>
      <c r="K179" s="4"/>
    </row>
    <row r="180" spans="1:11" hidden="1">
      <c r="A180" s="4" t="s">
        <v>108</v>
      </c>
      <c r="B180" s="4" t="s">
        <v>27</v>
      </c>
      <c r="C180" s="4">
        <v>7</v>
      </c>
      <c r="D180" s="71">
        <f>IFERROR(VLOOKUP(Easter[[#This Row],[Product Name]],'Lookup sheet'!$A$1:$D$31,4,FALSE),"")</f>
        <v>65</v>
      </c>
      <c r="E180" s="5">
        <f>IFERROR(Easter[[#This Row],[Price (Per Unit ₹)]]*Easter[[#This Row],[Quantity ]],"")</f>
        <v>455</v>
      </c>
      <c r="F180" s="6">
        <v>46116</v>
      </c>
      <c r="G180" s="25" t="s">
        <v>20</v>
      </c>
      <c r="H180" s="4" t="s">
        <v>21</v>
      </c>
      <c r="I180" s="4" t="s">
        <v>22</v>
      </c>
      <c r="J180" s="4" t="s">
        <v>23</v>
      </c>
      <c r="K180" s="4"/>
    </row>
    <row r="181" spans="1:11" hidden="1">
      <c r="A181" s="4" t="s">
        <v>108</v>
      </c>
      <c r="B181" s="4" t="s">
        <v>28</v>
      </c>
      <c r="C181" s="4">
        <v>7</v>
      </c>
      <c r="D181" s="71">
        <f>IFERROR(VLOOKUP(Easter[[#This Row],[Product Name]],'Lookup sheet'!$A$1:$D$31,4,FALSE),"")</f>
        <v>60</v>
      </c>
      <c r="E181" s="5">
        <f>IFERROR(Easter[[#This Row],[Price (Per Unit ₹)]]*Easter[[#This Row],[Quantity ]],"")</f>
        <v>420</v>
      </c>
      <c r="F181" s="6">
        <v>46116</v>
      </c>
      <c r="G181" s="25" t="s">
        <v>20</v>
      </c>
      <c r="H181" s="4" t="s">
        <v>21</v>
      </c>
      <c r="I181" s="4" t="s">
        <v>22</v>
      </c>
      <c r="J181" s="4" t="s">
        <v>23</v>
      </c>
      <c r="K181" s="4"/>
    </row>
    <row r="182" spans="1:11" hidden="1">
      <c r="A182" s="4" t="s">
        <v>108</v>
      </c>
      <c r="B182" s="4" t="s">
        <v>31</v>
      </c>
      <c r="C182" s="4">
        <v>7</v>
      </c>
      <c r="D182" s="71">
        <f>IFERROR(VLOOKUP(Easter[[#This Row],[Product Name]],'Lookup sheet'!$A$1:$D$31,4,FALSE),"")</f>
        <v>55</v>
      </c>
      <c r="E182" s="5">
        <f>IFERROR(Easter[[#This Row],[Price (Per Unit ₹)]]*Easter[[#This Row],[Quantity ]],"")</f>
        <v>385</v>
      </c>
      <c r="F182" s="6">
        <v>46116</v>
      </c>
      <c r="G182" s="25" t="s">
        <v>20</v>
      </c>
      <c r="H182" s="4" t="s">
        <v>21</v>
      </c>
      <c r="I182" s="4" t="s">
        <v>22</v>
      </c>
      <c r="J182" s="4" t="s">
        <v>23</v>
      </c>
      <c r="K182" s="4"/>
    </row>
    <row r="183" spans="1:11" hidden="1">
      <c r="A183" s="4" t="s">
        <v>108</v>
      </c>
      <c r="B183" s="4" t="s">
        <v>92</v>
      </c>
      <c r="C183" s="4">
        <v>7</v>
      </c>
      <c r="D183" s="71">
        <f>IFERROR(VLOOKUP(Easter[[#This Row],[Product Name]],'Lookup sheet'!$A$1:$D$31,4,FALSE),"")</f>
        <v>50</v>
      </c>
      <c r="E183" s="5">
        <f>IFERROR(Easter[[#This Row],[Price (Per Unit ₹)]]*Easter[[#This Row],[Quantity ]],"")</f>
        <v>350</v>
      </c>
      <c r="F183" s="6">
        <v>46116</v>
      </c>
      <c r="G183" s="25" t="s">
        <v>20</v>
      </c>
      <c r="H183" s="4" t="s">
        <v>21</v>
      </c>
      <c r="I183" s="4" t="s">
        <v>22</v>
      </c>
      <c r="J183" s="4" t="s">
        <v>23</v>
      </c>
      <c r="K183" s="4"/>
    </row>
    <row r="184" spans="1:11" hidden="1">
      <c r="A184" s="4" t="s">
        <v>109</v>
      </c>
      <c r="B184" s="4" t="s">
        <v>30</v>
      </c>
      <c r="C184" s="4">
        <v>13</v>
      </c>
      <c r="D184" s="33">
        <f>IFERROR(VLOOKUP(Easter[[#This Row],[Product Name]],'Lookup sheet'!$A$1:$D$31,4,FALSE),"")</f>
        <v>60</v>
      </c>
      <c r="E184" s="5">
        <f>IFERROR(Easter[[#This Row],[Price (Per Unit ₹)]]*Easter[[#This Row],[Quantity ]],"")</f>
        <v>780</v>
      </c>
      <c r="F184" s="6">
        <v>46116</v>
      </c>
      <c r="G184" s="25" t="s">
        <v>20</v>
      </c>
      <c r="H184" s="4" t="s">
        <v>21</v>
      </c>
      <c r="I184" s="4" t="s">
        <v>22</v>
      </c>
      <c r="J184" s="4" t="s">
        <v>23</v>
      </c>
      <c r="K184" s="4"/>
    </row>
    <row r="185" spans="1:11" hidden="1">
      <c r="A185" s="4" t="s">
        <v>109</v>
      </c>
      <c r="B185" s="4" t="s">
        <v>27</v>
      </c>
      <c r="C185" s="4">
        <v>19</v>
      </c>
      <c r="D185" s="33">
        <f>IFERROR(VLOOKUP(Easter[[#This Row],[Product Name]],'Lookup sheet'!$A$1:$D$31,4,FALSE),"")</f>
        <v>65</v>
      </c>
      <c r="E185" s="5">
        <f>IFERROR(Easter[[#This Row],[Price (Per Unit ₹)]]*Easter[[#This Row],[Quantity ]],"")</f>
        <v>1235</v>
      </c>
      <c r="F185" s="6">
        <v>46116</v>
      </c>
      <c r="G185" s="25" t="s">
        <v>20</v>
      </c>
      <c r="H185" s="4" t="s">
        <v>21</v>
      </c>
      <c r="I185" s="4" t="s">
        <v>22</v>
      </c>
      <c r="J185" s="4" t="s">
        <v>23</v>
      </c>
      <c r="K185" s="4"/>
    </row>
    <row r="186" spans="1:11" hidden="1">
      <c r="A186" s="4" t="s">
        <v>109</v>
      </c>
      <c r="B186" s="4" t="s">
        <v>28</v>
      </c>
      <c r="C186" s="4">
        <v>18</v>
      </c>
      <c r="D186" s="33">
        <f>IFERROR(VLOOKUP(Easter[[#This Row],[Product Name]],'Lookup sheet'!$A$1:$D$31,4,FALSE),"")</f>
        <v>60</v>
      </c>
      <c r="E186" s="5">
        <f>IFERROR(Easter[[#This Row],[Price (Per Unit ₹)]]*Easter[[#This Row],[Quantity ]],"")</f>
        <v>1080</v>
      </c>
      <c r="F186" s="6">
        <v>46116</v>
      </c>
      <c r="G186" s="25" t="s">
        <v>20</v>
      </c>
      <c r="H186" s="4" t="s">
        <v>21</v>
      </c>
      <c r="I186" s="4" t="s">
        <v>22</v>
      </c>
      <c r="J186" s="4" t="s">
        <v>23</v>
      </c>
      <c r="K186" s="4"/>
    </row>
    <row r="187" spans="1:11" hidden="1">
      <c r="A187" s="4" t="s">
        <v>109</v>
      </c>
      <c r="B187" s="4" t="s">
        <v>31</v>
      </c>
      <c r="C187" s="4">
        <v>15</v>
      </c>
      <c r="D187" s="33">
        <f>IFERROR(VLOOKUP(Easter[[#This Row],[Product Name]],'Lookup sheet'!$A$1:$D$31,4,FALSE),"")</f>
        <v>55</v>
      </c>
      <c r="E187" s="5">
        <f>IFERROR(Easter[[#This Row],[Price (Per Unit ₹)]]*Easter[[#This Row],[Quantity ]],"")</f>
        <v>825</v>
      </c>
      <c r="F187" s="6">
        <v>46116</v>
      </c>
      <c r="G187" s="25" t="s">
        <v>20</v>
      </c>
      <c r="H187" s="4" t="s">
        <v>21</v>
      </c>
      <c r="I187" s="4" t="s">
        <v>22</v>
      </c>
      <c r="J187" s="4" t="s">
        <v>23</v>
      </c>
      <c r="K187" s="4"/>
    </row>
    <row r="188" spans="1:11" hidden="1">
      <c r="A188" s="4" t="s">
        <v>109</v>
      </c>
      <c r="B188" s="4" t="s">
        <v>25</v>
      </c>
      <c r="C188" s="4">
        <v>14</v>
      </c>
      <c r="D188" s="33">
        <f>IFERROR(VLOOKUP(Easter[[#This Row],[Product Name]],'Lookup sheet'!$A$1:$D$31,4,FALSE),"")</f>
        <v>55</v>
      </c>
      <c r="E188" s="5">
        <f>IFERROR(Easter[[#This Row],[Price (Per Unit ₹)]]*Easter[[#This Row],[Quantity ]],"")</f>
        <v>770</v>
      </c>
      <c r="F188" s="6">
        <v>46116</v>
      </c>
      <c r="G188" s="25" t="s">
        <v>20</v>
      </c>
      <c r="H188" s="4" t="s">
        <v>21</v>
      </c>
      <c r="I188" s="4" t="s">
        <v>22</v>
      </c>
      <c r="J188" s="4" t="s">
        <v>23</v>
      </c>
      <c r="K188" s="4"/>
    </row>
    <row r="189" spans="1:11" hidden="1">
      <c r="A189" s="4" t="s">
        <v>110</v>
      </c>
      <c r="B189" s="4" t="s">
        <v>37</v>
      </c>
      <c r="C189" s="4">
        <v>4</v>
      </c>
      <c r="D189" s="71">
        <f>IFERROR(VLOOKUP(Easter[[#This Row],[Product Name]],'Lookup sheet'!$A$1:$D$31,4,FALSE),"")</f>
        <v>100</v>
      </c>
      <c r="E189" s="5">
        <f>IFERROR(Easter[[#This Row],[Price (Per Unit ₹)]]*Easter[[#This Row],[Quantity ]],"")</f>
        <v>400</v>
      </c>
      <c r="F189" s="6">
        <v>46114</v>
      </c>
      <c r="G189" s="25" t="s">
        <v>20</v>
      </c>
      <c r="H189" s="4" t="s">
        <v>21</v>
      </c>
      <c r="I189" s="4" t="s">
        <v>45</v>
      </c>
      <c r="J189" s="23" t="s">
        <v>46</v>
      </c>
      <c r="K189" s="4"/>
    </row>
    <row r="190" spans="1:11" hidden="1">
      <c r="A190" s="4" t="s">
        <v>111</v>
      </c>
      <c r="B190" s="4" t="s">
        <v>35</v>
      </c>
      <c r="C190" s="4">
        <v>10</v>
      </c>
      <c r="D190" s="71">
        <f>IFERROR(VLOOKUP(Easter[[#This Row],[Product Name]],'Lookup sheet'!$A$1:$D$31,4,FALSE),"")</f>
        <v>150</v>
      </c>
      <c r="E190" s="5">
        <f>IFERROR(Easter[[#This Row],[Price (Per Unit ₹)]]*Easter[[#This Row],[Quantity ]],"")</f>
        <v>1500</v>
      </c>
      <c r="F190" s="6">
        <v>46114</v>
      </c>
      <c r="G190" s="25" t="s">
        <v>20</v>
      </c>
      <c r="H190" s="4" t="s">
        <v>21</v>
      </c>
      <c r="I190" s="4" t="s">
        <v>22</v>
      </c>
      <c r="J190" s="4" t="s">
        <v>23</v>
      </c>
      <c r="K190" s="4"/>
    </row>
    <row r="191" spans="1:11" hidden="1">
      <c r="A191" s="4" t="s">
        <v>112</v>
      </c>
      <c r="B191" s="4" t="s">
        <v>39</v>
      </c>
      <c r="C191" s="4">
        <v>20</v>
      </c>
      <c r="D191" s="71">
        <f>IFERROR(VLOOKUP(Easter[[#This Row],[Product Name]],'Lookup sheet'!$A$1:$D$31,4,FALSE),"")</f>
        <v>25</v>
      </c>
      <c r="E191" s="5">
        <f>IFERROR(Easter[[#This Row],[Price (Per Unit ₹)]]*Easter[[#This Row],[Quantity ]],"")</f>
        <v>500</v>
      </c>
      <c r="F191" s="6">
        <v>46116</v>
      </c>
      <c r="G191" s="25" t="s">
        <v>20</v>
      </c>
      <c r="H191" s="4" t="s">
        <v>21</v>
      </c>
      <c r="I191" s="4" t="s">
        <v>22</v>
      </c>
      <c r="J191" s="4" t="s">
        <v>23</v>
      </c>
      <c r="K191" s="4"/>
    </row>
    <row r="192" spans="1:11" hidden="1">
      <c r="A192" s="4" t="s">
        <v>112</v>
      </c>
      <c r="B192" s="4" t="s">
        <v>35</v>
      </c>
      <c r="C192" s="4">
        <v>1</v>
      </c>
      <c r="D192" s="71">
        <f>IFERROR(VLOOKUP(Easter[[#This Row],[Product Name]],'Lookup sheet'!$A$1:$D$31,4,FALSE),"")</f>
        <v>150</v>
      </c>
      <c r="E192" s="5">
        <f>IFERROR(Easter[[#This Row],[Price (Per Unit ₹)]]*Easter[[#This Row],[Quantity ]],"")</f>
        <v>150</v>
      </c>
      <c r="F192" s="6">
        <v>46116</v>
      </c>
      <c r="G192" s="25" t="s">
        <v>20</v>
      </c>
      <c r="H192" s="4" t="s">
        <v>21</v>
      </c>
      <c r="I192" s="4" t="s">
        <v>22</v>
      </c>
      <c r="J192" s="4" t="s">
        <v>23</v>
      </c>
      <c r="K192" s="4"/>
    </row>
    <row r="193" spans="1:11" hidden="1">
      <c r="A193" s="4" t="s">
        <v>112</v>
      </c>
      <c r="B193" s="4" t="s">
        <v>25</v>
      </c>
      <c r="C193" s="4">
        <v>3</v>
      </c>
      <c r="D193" s="71">
        <f>IFERROR(VLOOKUP(Easter[[#This Row],[Product Name]],'Lookup sheet'!$A$1:$D$31,4,FALSE),"")</f>
        <v>55</v>
      </c>
      <c r="E193" s="5">
        <f>IFERROR(Easter[[#This Row],[Price (Per Unit ₹)]]*Easter[[#This Row],[Quantity ]],"")</f>
        <v>165</v>
      </c>
      <c r="F193" s="6">
        <v>46116</v>
      </c>
      <c r="G193" s="25" t="s">
        <v>20</v>
      </c>
      <c r="H193" s="4" t="s">
        <v>21</v>
      </c>
      <c r="I193" s="4" t="s">
        <v>22</v>
      </c>
      <c r="J193" s="4" t="s">
        <v>23</v>
      </c>
      <c r="K193" s="4"/>
    </row>
    <row r="194" spans="1:11" hidden="1">
      <c r="A194" s="4" t="s">
        <v>112</v>
      </c>
      <c r="B194" s="4" t="s">
        <v>62</v>
      </c>
      <c r="C194" s="4">
        <v>8</v>
      </c>
      <c r="D194" s="71">
        <f>IFERROR(VLOOKUP(Easter[[#This Row],[Product Name]],'Lookup sheet'!$A$1:$D$31,4,FALSE),"")</f>
        <v>25</v>
      </c>
      <c r="E194" s="5">
        <f>IFERROR(Easter[[#This Row],[Price (Per Unit ₹)]]*Easter[[#This Row],[Quantity ]],"")</f>
        <v>200</v>
      </c>
      <c r="F194" s="6">
        <v>46116</v>
      </c>
      <c r="G194" s="25" t="s">
        <v>20</v>
      </c>
      <c r="H194" s="4" t="s">
        <v>21</v>
      </c>
      <c r="I194" s="4" t="s">
        <v>22</v>
      </c>
      <c r="J194" s="4" t="s">
        <v>23</v>
      </c>
      <c r="K194" s="4"/>
    </row>
    <row r="195" spans="1:11" hidden="1">
      <c r="A195" s="4" t="s">
        <v>112</v>
      </c>
      <c r="B195" s="4" t="s">
        <v>19</v>
      </c>
      <c r="C195" s="4">
        <v>3</v>
      </c>
      <c r="D195" s="71">
        <f>IFERROR(VLOOKUP(Easter[[#This Row],[Product Name]],'Lookup sheet'!$A$1:$D$31,4,FALSE),"")</f>
        <v>60</v>
      </c>
      <c r="E195" s="5">
        <f>IFERROR(Easter[[#This Row],[Price (Per Unit ₹)]]*Easter[[#This Row],[Quantity ]],"")</f>
        <v>180</v>
      </c>
      <c r="F195" s="6">
        <v>46119</v>
      </c>
      <c r="G195" s="25" t="s">
        <v>20</v>
      </c>
      <c r="H195" s="4" t="s">
        <v>21</v>
      </c>
      <c r="I195" s="4" t="s">
        <v>22</v>
      </c>
      <c r="J195" s="4" t="s">
        <v>23</v>
      </c>
      <c r="K195" s="4"/>
    </row>
    <row r="196" spans="1:11" hidden="1">
      <c r="A196" s="4" t="s">
        <v>113</v>
      </c>
      <c r="B196" s="4" t="s">
        <v>19</v>
      </c>
      <c r="C196" s="4">
        <v>15</v>
      </c>
      <c r="D196" s="71">
        <f>IFERROR(VLOOKUP(Easter[[#This Row],[Product Name]],'Lookup sheet'!$A$1:$D$31,4,FALSE),"")</f>
        <v>60</v>
      </c>
      <c r="E196" s="5">
        <f>IFERROR(Easter[[#This Row],[Price (Per Unit ₹)]]*Easter[[#This Row],[Quantity ]],"")</f>
        <v>900</v>
      </c>
      <c r="F196" s="6">
        <v>46121</v>
      </c>
      <c r="G196" s="25" t="s">
        <v>83</v>
      </c>
      <c r="H196" s="4" t="s">
        <v>21</v>
      </c>
      <c r="I196" s="4" t="s">
        <v>45</v>
      </c>
      <c r="J196" s="4" t="s">
        <v>46</v>
      </c>
      <c r="K196" s="4"/>
    </row>
    <row r="197" spans="1:11" hidden="1">
      <c r="A197" s="4" t="s">
        <v>114</v>
      </c>
      <c r="B197" s="4" t="s">
        <v>39</v>
      </c>
      <c r="C197" s="4">
        <v>7</v>
      </c>
      <c r="D197" s="71">
        <f>IFERROR(VLOOKUP(Easter[[#This Row],[Product Name]],'Lookup sheet'!$A$1:$D$31,4,FALSE),"")</f>
        <v>25</v>
      </c>
      <c r="E197" s="5">
        <f>IFERROR(Easter[[#This Row],[Price (Per Unit ₹)]]*Easter[[#This Row],[Quantity ]],"")</f>
        <v>175</v>
      </c>
      <c r="F197" s="6">
        <v>46114</v>
      </c>
      <c r="G197" s="25" t="s">
        <v>20</v>
      </c>
      <c r="H197" s="4" t="s">
        <v>21</v>
      </c>
      <c r="I197" s="4" t="s">
        <v>45</v>
      </c>
      <c r="J197" s="4" t="s">
        <v>46</v>
      </c>
      <c r="K197" s="4"/>
    </row>
    <row r="198" spans="1:11" hidden="1">
      <c r="A198" s="4" t="s">
        <v>114</v>
      </c>
      <c r="B198" s="4" t="s">
        <v>40</v>
      </c>
      <c r="C198" s="4">
        <v>6</v>
      </c>
      <c r="D198" s="71">
        <f>IFERROR(VLOOKUP(Easter[[#This Row],[Product Name]],'Lookup sheet'!$A$1:$D$31,4,FALSE),"")</f>
        <v>25</v>
      </c>
      <c r="E198" s="5">
        <f>IFERROR(Easter[[#This Row],[Price (Per Unit ₹)]]*Easter[[#This Row],[Quantity ]],"")</f>
        <v>150</v>
      </c>
      <c r="F198" s="6">
        <v>46114</v>
      </c>
      <c r="G198" s="25" t="s">
        <v>20</v>
      </c>
      <c r="H198" s="4" t="s">
        <v>21</v>
      </c>
      <c r="I198" s="4" t="s">
        <v>45</v>
      </c>
      <c r="J198" s="4" t="s">
        <v>46</v>
      </c>
      <c r="K198" s="4"/>
    </row>
    <row r="199" spans="1:11" hidden="1">
      <c r="A199" s="4" t="s">
        <v>114</v>
      </c>
      <c r="B199" s="4" t="s">
        <v>43</v>
      </c>
      <c r="C199" s="4">
        <v>7</v>
      </c>
      <c r="D199" s="71">
        <f>IFERROR(VLOOKUP(Easter[[#This Row],[Product Name]],'Lookup sheet'!$A$1:$D$31,4,FALSE),"")</f>
        <v>25</v>
      </c>
      <c r="E199" s="5">
        <f>IFERROR(Easter[[#This Row],[Price (Per Unit ₹)]]*Easter[[#This Row],[Quantity ]],"")</f>
        <v>175</v>
      </c>
      <c r="F199" s="6">
        <v>46114</v>
      </c>
      <c r="G199" s="25" t="s">
        <v>20</v>
      </c>
      <c r="H199" s="4" t="s">
        <v>21</v>
      </c>
      <c r="I199" s="4" t="s">
        <v>45</v>
      </c>
      <c r="J199" s="4" t="s">
        <v>46</v>
      </c>
      <c r="K199" s="4"/>
    </row>
    <row r="200" spans="1:11" hidden="1">
      <c r="A200" s="4" t="s">
        <v>114</v>
      </c>
      <c r="B200" s="4" t="s">
        <v>62</v>
      </c>
      <c r="C200" s="4">
        <v>15</v>
      </c>
      <c r="D200" s="71">
        <f>IFERROR(VLOOKUP(Easter[[#This Row],[Product Name]],'Lookup sheet'!$A$1:$D$31,4,FALSE),"")</f>
        <v>25</v>
      </c>
      <c r="E200" s="5">
        <f>IFERROR(Easter[[#This Row],[Price (Per Unit ₹)]]*Easter[[#This Row],[Quantity ]],"")</f>
        <v>375</v>
      </c>
      <c r="F200" s="6">
        <v>46114</v>
      </c>
      <c r="G200" s="25" t="s">
        <v>20</v>
      </c>
      <c r="H200" s="4" t="s">
        <v>21</v>
      </c>
      <c r="I200" s="4" t="s">
        <v>45</v>
      </c>
      <c r="J200" s="4" t="s">
        <v>46</v>
      </c>
      <c r="K200" s="4"/>
    </row>
    <row r="201" spans="1:11" hidden="1">
      <c r="A201" s="4" t="s">
        <v>115</v>
      </c>
      <c r="B201" s="4" t="s">
        <v>39</v>
      </c>
      <c r="C201" s="4">
        <v>6</v>
      </c>
      <c r="D201" s="71">
        <f>IFERROR(VLOOKUP(Easter[[#This Row],[Product Name]],'Lookup sheet'!$A$1:$D$31,4,FALSE),"")</f>
        <v>25</v>
      </c>
      <c r="E201" s="5">
        <f>IFERROR(Easter[[#This Row],[Price (Per Unit ₹)]]*Easter[[#This Row],[Quantity ]],"")</f>
        <v>150</v>
      </c>
      <c r="F201" s="6">
        <v>46114</v>
      </c>
      <c r="G201" s="25" t="s">
        <v>20</v>
      </c>
      <c r="H201" s="4" t="s">
        <v>21</v>
      </c>
      <c r="I201" s="4" t="s">
        <v>45</v>
      </c>
      <c r="J201" s="4" t="s">
        <v>46</v>
      </c>
      <c r="K201" s="4"/>
    </row>
    <row r="202" spans="1:11" hidden="1">
      <c r="A202" s="4" t="s">
        <v>115</v>
      </c>
      <c r="B202" s="4" t="s">
        <v>58</v>
      </c>
      <c r="C202" s="4">
        <v>1</v>
      </c>
      <c r="D202" s="71">
        <f>IFERROR(VLOOKUP(Easter[[#This Row],[Product Name]],'Lookup sheet'!$A$1:$D$31,4,FALSE),"")</f>
        <v>130</v>
      </c>
      <c r="E202" s="5">
        <f>IFERROR(Easter[[#This Row],[Price (Per Unit ₹)]]*Easter[[#This Row],[Quantity ]],"")</f>
        <v>130</v>
      </c>
      <c r="F202" s="6">
        <v>46114</v>
      </c>
      <c r="G202" s="25" t="s">
        <v>20</v>
      </c>
      <c r="H202" s="4" t="s">
        <v>21</v>
      </c>
      <c r="I202" s="4" t="s">
        <v>45</v>
      </c>
      <c r="J202" s="4" t="s">
        <v>46</v>
      </c>
      <c r="K202" s="4"/>
    </row>
    <row r="203" spans="1:11" hidden="1">
      <c r="A203" s="4" t="s">
        <v>115</v>
      </c>
      <c r="B203" s="4" t="s">
        <v>40</v>
      </c>
      <c r="C203" s="4">
        <v>6</v>
      </c>
      <c r="D203" s="71">
        <f>IFERROR(VLOOKUP(Easter[[#This Row],[Product Name]],'Lookup sheet'!$A$1:$D$31,4,FALSE),"")</f>
        <v>25</v>
      </c>
      <c r="E203" s="5">
        <f>IFERROR(Easter[[#This Row],[Price (Per Unit ₹)]]*Easter[[#This Row],[Quantity ]],"")</f>
        <v>150</v>
      </c>
      <c r="F203" s="6">
        <v>46114</v>
      </c>
      <c r="G203" s="25" t="s">
        <v>20</v>
      </c>
      <c r="H203" s="4" t="s">
        <v>21</v>
      </c>
      <c r="I203" s="4" t="s">
        <v>45</v>
      </c>
      <c r="J203" s="4" t="s">
        <v>46</v>
      </c>
      <c r="K203" s="4"/>
    </row>
    <row r="204" spans="1:11" hidden="1">
      <c r="A204" s="4" t="s">
        <v>115</v>
      </c>
      <c r="B204" s="4" t="s">
        <v>59</v>
      </c>
      <c r="C204" s="4">
        <v>1</v>
      </c>
      <c r="D204" s="71">
        <f>IFERROR(VLOOKUP(Easter[[#This Row],[Product Name]],'Lookup sheet'!$A$1:$D$31,4,FALSE),"")</f>
        <v>130</v>
      </c>
      <c r="E204" s="5">
        <f>IFERROR(Easter[[#This Row],[Price (Per Unit ₹)]]*Easter[[#This Row],[Quantity ]],"")</f>
        <v>130</v>
      </c>
      <c r="F204" s="6">
        <v>46114</v>
      </c>
      <c r="G204" s="25" t="s">
        <v>20</v>
      </c>
      <c r="H204" s="4" t="s">
        <v>21</v>
      </c>
      <c r="I204" s="4" t="s">
        <v>45</v>
      </c>
      <c r="J204" s="4" t="s">
        <v>46</v>
      </c>
      <c r="K204" s="4"/>
    </row>
    <row r="205" spans="1:11" hidden="1">
      <c r="A205" s="4" t="s">
        <v>115</v>
      </c>
      <c r="B205" s="4" t="s">
        <v>43</v>
      </c>
      <c r="C205" s="4">
        <v>6</v>
      </c>
      <c r="D205" s="71">
        <f>IFERROR(VLOOKUP(Easter[[#This Row],[Product Name]],'Lookup sheet'!$A$1:$D$31,4,FALSE),"")</f>
        <v>25</v>
      </c>
      <c r="E205" s="5">
        <f>IFERROR(Easter[[#This Row],[Price (Per Unit ₹)]]*Easter[[#This Row],[Quantity ]],"")</f>
        <v>150</v>
      </c>
      <c r="F205" s="6">
        <v>46114</v>
      </c>
      <c r="G205" s="25" t="s">
        <v>20</v>
      </c>
      <c r="H205" s="4" t="s">
        <v>21</v>
      </c>
      <c r="I205" s="4" t="s">
        <v>45</v>
      </c>
      <c r="J205" s="4" t="s">
        <v>46</v>
      </c>
      <c r="K205" s="4"/>
    </row>
    <row r="206" spans="1:11" hidden="1">
      <c r="A206" s="4" t="s">
        <v>115</v>
      </c>
      <c r="B206" s="4" t="s">
        <v>37</v>
      </c>
      <c r="C206" s="4">
        <v>2</v>
      </c>
      <c r="D206" s="71">
        <f>IFERROR(VLOOKUP(Easter[[#This Row],[Product Name]],'Lookup sheet'!$A$1:$D$31,4,FALSE),"")</f>
        <v>100</v>
      </c>
      <c r="E206" s="5">
        <f>IFERROR(Easter[[#This Row],[Price (Per Unit ₹)]]*Easter[[#This Row],[Quantity ]],"")</f>
        <v>200</v>
      </c>
      <c r="F206" s="6">
        <v>46114</v>
      </c>
      <c r="G206" s="25" t="s">
        <v>20</v>
      </c>
      <c r="H206" s="4" t="s">
        <v>21</v>
      </c>
      <c r="I206" s="4" t="s">
        <v>45</v>
      </c>
      <c r="J206" s="4" t="s">
        <v>46</v>
      </c>
      <c r="K206" s="4"/>
    </row>
    <row r="207" spans="1:11" hidden="1">
      <c r="A207" s="4" t="s">
        <v>115</v>
      </c>
      <c r="B207" s="4" t="s">
        <v>51</v>
      </c>
      <c r="C207" s="4">
        <v>6</v>
      </c>
      <c r="D207" s="71">
        <f>IFERROR(VLOOKUP(Easter[[#This Row],[Product Name]],'Lookup sheet'!$A$1:$D$31,4,FALSE),"")</f>
        <v>20</v>
      </c>
      <c r="E207" s="5">
        <f>IFERROR(Easter[[#This Row],[Price (Per Unit ₹)]]*Easter[[#This Row],[Quantity ]],"")</f>
        <v>120</v>
      </c>
      <c r="F207" s="6">
        <v>46114</v>
      </c>
      <c r="G207" s="25" t="s">
        <v>20</v>
      </c>
      <c r="H207" s="4" t="s">
        <v>21</v>
      </c>
      <c r="I207" s="4" t="s">
        <v>45</v>
      </c>
      <c r="J207" s="4" t="s">
        <v>46</v>
      </c>
      <c r="K207" s="4"/>
    </row>
    <row r="208" spans="1:11" hidden="1">
      <c r="A208" s="4" t="s">
        <v>115</v>
      </c>
      <c r="B208" s="4" t="s">
        <v>60</v>
      </c>
      <c r="C208" s="4">
        <v>1</v>
      </c>
      <c r="D208" s="71">
        <f>IFERROR(VLOOKUP(Easter[[#This Row],[Product Name]],'Lookup sheet'!$A$1:$D$31,4,FALSE),"")</f>
        <v>130</v>
      </c>
      <c r="E208" s="5">
        <f>IFERROR(Easter[[#This Row],[Price (Per Unit ₹)]]*Easter[[#This Row],[Quantity ]],"")</f>
        <v>130</v>
      </c>
      <c r="F208" s="6">
        <v>46114</v>
      </c>
      <c r="G208" s="25" t="s">
        <v>20</v>
      </c>
      <c r="H208" s="4" t="s">
        <v>21</v>
      </c>
      <c r="I208" s="4" t="s">
        <v>45</v>
      </c>
      <c r="J208" s="4" t="s">
        <v>46</v>
      </c>
      <c r="K208" s="4"/>
    </row>
    <row r="209" spans="1:11" hidden="1">
      <c r="A209" s="4" t="s">
        <v>115</v>
      </c>
      <c r="B209" s="4" t="s">
        <v>62</v>
      </c>
      <c r="C209" s="4">
        <v>6</v>
      </c>
      <c r="D209" s="71">
        <f>IFERROR(VLOOKUP(Easter[[#This Row],[Product Name]],'Lookup sheet'!$A$1:$D$31,4,FALSE),"")</f>
        <v>25</v>
      </c>
      <c r="E209" s="5">
        <f>IFERROR(Easter[[#This Row],[Price (Per Unit ₹)]]*Easter[[#This Row],[Quantity ]],"")</f>
        <v>150</v>
      </c>
      <c r="F209" s="6">
        <v>46114</v>
      </c>
      <c r="G209" s="25" t="s">
        <v>20</v>
      </c>
      <c r="H209" s="4" t="s">
        <v>21</v>
      </c>
      <c r="I209" s="4" t="s">
        <v>45</v>
      </c>
      <c r="J209" s="4" t="s">
        <v>46</v>
      </c>
      <c r="K209" s="4"/>
    </row>
    <row r="210" spans="1:11" hidden="1">
      <c r="A210" s="4" t="s">
        <v>116</v>
      </c>
      <c r="B210" s="4" t="s">
        <v>39</v>
      </c>
      <c r="C210" s="4">
        <v>5</v>
      </c>
      <c r="D210" s="71">
        <f>IFERROR(VLOOKUP(Easter[[#This Row],[Product Name]],'Lookup sheet'!$A$1:$D$31,4,FALSE),"")</f>
        <v>25</v>
      </c>
      <c r="E210" s="5">
        <f>IFERROR(Easter[[#This Row],[Price (Per Unit ₹)]]*Easter[[#This Row],[Quantity ]],"")</f>
        <v>125</v>
      </c>
      <c r="F210" s="6">
        <v>46114</v>
      </c>
      <c r="G210" s="25" t="s">
        <v>20</v>
      </c>
      <c r="H210" s="4" t="s">
        <v>21</v>
      </c>
      <c r="I210" s="4" t="s">
        <v>45</v>
      </c>
      <c r="J210" s="4" t="s">
        <v>46</v>
      </c>
      <c r="K210" s="4"/>
    </row>
    <row r="211" spans="1:11" hidden="1">
      <c r="A211" s="4" t="s">
        <v>116</v>
      </c>
      <c r="B211" s="4" t="s">
        <v>24</v>
      </c>
      <c r="C211" s="4">
        <v>2</v>
      </c>
      <c r="D211" s="71">
        <f>IFERROR(VLOOKUP(Easter[[#This Row],[Product Name]],'Lookup sheet'!$A$1:$D$31,4,FALSE),"")</f>
        <v>40</v>
      </c>
      <c r="E211" s="5">
        <f>IFERROR(Easter[[#This Row],[Price (Per Unit ₹)]]*Easter[[#This Row],[Quantity ]],"")</f>
        <v>80</v>
      </c>
      <c r="F211" s="6">
        <v>46114</v>
      </c>
      <c r="G211" s="25" t="s">
        <v>20</v>
      </c>
      <c r="H211" s="4" t="s">
        <v>21</v>
      </c>
      <c r="I211" s="4" t="s">
        <v>45</v>
      </c>
      <c r="J211" s="4" t="s">
        <v>46</v>
      </c>
      <c r="K211" s="4"/>
    </row>
    <row r="212" spans="1:11" hidden="1">
      <c r="A212" s="4" t="s">
        <v>116</v>
      </c>
      <c r="B212" s="4" t="s">
        <v>35</v>
      </c>
      <c r="C212" s="4">
        <v>1</v>
      </c>
      <c r="D212" s="71">
        <f>IFERROR(VLOOKUP(Easter[[#This Row],[Product Name]],'Lookup sheet'!$A$1:$D$31,4,FALSE),"")</f>
        <v>150</v>
      </c>
      <c r="E212" s="5">
        <f>IFERROR(Easter[[#This Row],[Price (Per Unit ₹)]]*Easter[[#This Row],[Quantity ]],"")</f>
        <v>150</v>
      </c>
      <c r="F212" s="6">
        <v>46114</v>
      </c>
      <c r="G212" s="25" t="s">
        <v>20</v>
      </c>
      <c r="H212" s="4" t="s">
        <v>21</v>
      </c>
      <c r="I212" s="4" t="s">
        <v>45</v>
      </c>
      <c r="J212" s="4" t="s">
        <v>46</v>
      </c>
      <c r="K212" s="4"/>
    </row>
    <row r="213" spans="1:11" hidden="1">
      <c r="A213" s="4" t="s">
        <v>117</v>
      </c>
      <c r="B213" s="4" t="s">
        <v>59</v>
      </c>
      <c r="C213" s="4">
        <v>1</v>
      </c>
      <c r="D213" s="71">
        <f>IFERROR(VLOOKUP(Easter[[#This Row],[Product Name]],'Lookup sheet'!$A$1:$D$31,4,FALSE),"")</f>
        <v>130</v>
      </c>
      <c r="E213" s="5">
        <f>IFERROR(Easter[[#This Row],[Price (Per Unit ₹)]]*Easter[[#This Row],[Quantity ]],"")</f>
        <v>130</v>
      </c>
      <c r="F213" s="6">
        <v>46116</v>
      </c>
      <c r="G213" s="25" t="s">
        <v>20</v>
      </c>
      <c r="H213" s="4" t="s">
        <v>21</v>
      </c>
      <c r="I213" s="4" t="s">
        <v>22</v>
      </c>
      <c r="J213" s="4" t="s">
        <v>23</v>
      </c>
      <c r="K213" s="4"/>
    </row>
    <row r="214" spans="1:11" hidden="1">
      <c r="A214" s="4" t="s">
        <v>117</v>
      </c>
      <c r="B214" s="4" t="s">
        <v>60</v>
      </c>
      <c r="C214" s="4">
        <v>1</v>
      </c>
      <c r="D214" s="71">
        <f>IFERROR(VLOOKUP(Easter[[#This Row],[Product Name]],'Lookup sheet'!$A$1:$D$31,4,FALSE),"")</f>
        <v>130</v>
      </c>
      <c r="E214" s="5">
        <f>IFERROR(Easter[[#This Row],[Price (Per Unit ₹)]]*Easter[[#This Row],[Quantity ]],"")</f>
        <v>130</v>
      </c>
      <c r="F214" s="6">
        <v>46116</v>
      </c>
      <c r="G214" s="25" t="s">
        <v>20</v>
      </c>
      <c r="H214" s="4" t="s">
        <v>21</v>
      </c>
      <c r="I214" s="4" t="s">
        <v>22</v>
      </c>
      <c r="J214" s="4" t="s">
        <v>23</v>
      </c>
      <c r="K214" s="4"/>
    </row>
    <row r="215" spans="1:11">
      <c r="A215" s="4" t="s">
        <v>118</v>
      </c>
      <c r="B215" s="4" t="s">
        <v>30</v>
      </c>
      <c r="C215" s="4">
        <v>1</v>
      </c>
      <c r="D215" s="71">
        <f>IFERROR(VLOOKUP(Easter[[#This Row],[Product Name]],'Lookup sheet'!$A$1:$D$31,4,FALSE),"")</f>
        <v>60</v>
      </c>
      <c r="E215" s="5">
        <f>IFERROR(Easter[[#This Row],[Price (Per Unit ₹)]]*Easter[[#This Row],[Quantity ]],"")</f>
        <v>60</v>
      </c>
      <c r="F215" s="6">
        <v>46116</v>
      </c>
      <c r="G215" s="25" t="s">
        <v>20</v>
      </c>
      <c r="H215" s="4" t="s">
        <v>21</v>
      </c>
      <c r="I215" s="4" t="s">
        <v>22</v>
      </c>
      <c r="J215" s="4" t="s">
        <v>36</v>
      </c>
      <c r="K215" s="4"/>
    </row>
    <row r="216" spans="1:11">
      <c r="A216" s="4" t="s">
        <v>118</v>
      </c>
      <c r="B216" s="4" t="s">
        <v>28</v>
      </c>
      <c r="C216" s="4">
        <v>1</v>
      </c>
      <c r="D216" s="71">
        <f>IFERROR(VLOOKUP(Easter[[#This Row],[Product Name]],'Lookup sheet'!$A$1:$D$31,4,FALSE),"")</f>
        <v>60</v>
      </c>
      <c r="E216" s="5">
        <f>IFERROR(Easter[[#This Row],[Price (Per Unit ₹)]]*Easter[[#This Row],[Quantity ]],"")</f>
        <v>60</v>
      </c>
      <c r="F216" s="6">
        <v>46116</v>
      </c>
      <c r="G216" s="25" t="s">
        <v>20</v>
      </c>
      <c r="H216" s="4" t="s">
        <v>21</v>
      </c>
      <c r="I216" s="4" t="s">
        <v>22</v>
      </c>
      <c r="J216" s="4" t="s">
        <v>36</v>
      </c>
      <c r="K216" s="4"/>
    </row>
    <row r="217" spans="1:11">
      <c r="A217" s="4" t="s">
        <v>118</v>
      </c>
      <c r="B217" s="4" t="s">
        <v>35</v>
      </c>
      <c r="C217" s="4">
        <v>1</v>
      </c>
      <c r="D217" s="71">
        <f>IFERROR(VLOOKUP(Easter[[#This Row],[Product Name]],'Lookup sheet'!$A$1:$D$31,4,FALSE),"")</f>
        <v>150</v>
      </c>
      <c r="E217" s="5">
        <f>IFERROR(Easter[[#This Row],[Price (Per Unit ₹)]]*Easter[[#This Row],[Quantity ]],"")</f>
        <v>150</v>
      </c>
      <c r="F217" s="6">
        <v>46116</v>
      </c>
      <c r="G217" s="25" t="s">
        <v>20</v>
      </c>
      <c r="H217" s="4" t="s">
        <v>21</v>
      </c>
      <c r="I217" s="4" t="s">
        <v>22</v>
      </c>
      <c r="J217" s="4" t="s">
        <v>36</v>
      </c>
      <c r="K217" s="4"/>
    </row>
    <row r="218" spans="1:11" hidden="1">
      <c r="A218" s="4" t="s">
        <v>119</v>
      </c>
      <c r="B218" s="4" t="s">
        <v>30</v>
      </c>
      <c r="C218" s="4">
        <v>1</v>
      </c>
      <c r="D218" s="33">
        <f>IFERROR(VLOOKUP(Easter[[#This Row],[Product Name]],'Lookup sheet'!$A$1:$D$31,4,FALSE),"")</f>
        <v>60</v>
      </c>
      <c r="E218" s="5">
        <f>IFERROR(Easter[[#This Row],[Price (Per Unit ₹)]]*Easter[[#This Row],[Quantity ]],"")</f>
        <v>60</v>
      </c>
      <c r="F218" s="6">
        <v>46116</v>
      </c>
      <c r="G218" s="25" t="s">
        <v>20</v>
      </c>
      <c r="H218" s="4" t="s">
        <v>21</v>
      </c>
      <c r="I218" s="4" t="s">
        <v>45</v>
      </c>
      <c r="J218" s="4" t="s">
        <v>46</v>
      </c>
      <c r="K218" s="4"/>
    </row>
    <row r="219" spans="1:11" hidden="1">
      <c r="A219" s="4" t="s">
        <v>119</v>
      </c>
      <c r="B219" s="4" t="s">
        <v>27</v>
      </c>
      <c r="C219" s="4">
        <v>1</v>
      </c>
      <c r="D219" s="33">
        <f>IFERROR(VLOOKUP(Easter[[#This Row],[Product Name]],'Lookup sheet'!$A$1:$D$31,4,FALSE),"")</f>
        <v>65</v>
      </c>
      <c r="E219" s="5">
        <f>IFERROR(Easter[[#This Row],[Price (Per Unit ₹)]]*Easter[[#This Row],[Quantity ]],"")</f>
        <v>65</v>
      </c>
      <c r="F219" s="6">
        <v>46116</v>
      </c>
      <c r="G219" s="25" t="s">
        <v>20</v>
      </c>
      <c r="H219" s="4" t="s">
        <v>21</v>
      </c>
      <c r="I219" s="4" t="s">
        <v>45</v>
      </c>
      <c r="J219" s="4" t="s">
        <v>46</v>
      </c>
      <c r="K219" s="4"/>
    </row>
    <row r="220" spans="1:11" hidden="1">
      <c r="A220" s="4" t="s">
        <v>119</v>
      </c>
      <c r="B220" s="4" t="s">
        <v>28</v>
      </c>
      <c r="C220" s="4">
        <v>1</v>
      </c>
      <c r="D220" s="33">
        <f>IFERROR(VLOOKUP(Easter[[#This Row],[Product Name]],'Lookup sheet'!$A$1:$D$31,4,FALSE),"")</f>
        <v>60</v>
      </c>
      <c r="E220" s="5">
        <f>IFERROR(Easter[[#This Row],[Price (Per Unit ₹)]]*Easter[[#This Row],[Quantity ]],"")</f>
        <v>60</v>
      </c>
      <c r="F220" s="6">
        <v>46116</v>
      </c>
      <c r="G220" s="23" t="s">
        <v>20</v>
      </c>
      <c r="H220" s="4" t="s">
        <v>21</v>
      </c>
      <c r="I220" s="4" t="s">
        <v>45</v>
      </c>
      <c r="J220" s="4" t="s">
        <v>46</v>
      </c>
      <c r="K220" s="4"/>
    </row>
    <row r="221" spans="1:11" hidden="1">
      <c r="A221" s="4" t="s">
        <v>119</v>
      </c>
      <c r="B221" s="4" t="s">
        <v>31</v>
      </c>
      <c r="C221" s="4">
        <v>1</v>
      </c>
      <c r="D221" s="33">
        <f>IFERROR(VLOOKUP(Easter[[#This Row],[Product Name]],'Lookup sheet'!$A$1:$D$31,4,FALSE),"")</f>
        <v>55</v>
      </c>
      <c r="E221" s="5">
        <f>IFERROR(Easter[[#This Row],[Price (Per Unit ₹)]]*Easter[[#This Row],[Quantity ]],"")</f>
        <v>55</v>
      </c>
      <c r="F221" s="6">
        <v>46116</v>
      </c>
      <c r="G221" s="25" t="s">
        <v>20</v>
      </c>
      <c r="H221" s="4" t="s">
        <v>21</v>
      </c>
      <c r="I221" s="4" t="s">
        <v>45</v>
      </c>
      <c r="J221" s="4" t="s">
        <v>46</v>
      </c>
      <c r="K221" s="4"/>
    </row>
    <row r="222" spans="1:11" hidden="1">
      <c r="A222" s="4" t="s">
        <v>119</v>
      </c>
      <c r="B222" s="4" t="s">
        <v>75</v>
      </c>
      <c r="C222" s="4">
        <v>1</v>
      </c>
      <c r="D222" s="33">
        <f>IFERROR(VLOOKUP(Easter[[#This Row],[Product Name]],'Lookup sheet'!$A$1:$D$31,4,FALSE),"")</f>
        <v>50</v>
      </c>
      <c r="E222" s="5">
        <f>IFERROR(Easter[[#This Row],[Price (Per Unit ₹)]]*Easter[[#This Row],[Quantity ]],"")</f>
        <v>50</v>
      </c>
      <c r="F222" s="6">
        <v>46116</v>
      </c>
      <c r="G222" s="23" t="s">
        <v>20</v>
      </c>
      <c r="H222" s="4" t="s">
        <v>21</v>
      </c>
      <c r="I222" s="4" t="s">
        <v>45</v>
      </c>
      <c r="J222" s="4" t="s">
        <v>46</v>
      </c>
      <c r="K222" s="4"/>
    </row>
    <row r="223" spans="1:11" hidden="1">
      <c r="A223" s="4" t="s">
        <v>119</v>
      </c>
      <c r="B223" s="4" t="s">
        <v>25</v>
      </c>
      <c r="C223" s="4">
        <v>1</v>
      </c>
      <c r="D223" s="33">
        <f>IFERROR(VLOOKUP(Easter[[#This Row],[Product Name]],'Lookup sheet'!$A$1:$D$31,4,FALSE),"")</f>
        <v>55</v>
      </c>
      <c r="E223" s="5">
        <f>IFERROR(Easter[[#This Row],[Price (Per Unit ₹)]]*Easter[[#This Row],[Quantity ]],"")</f>
        <v>55</v>
      </c>
      <c r="F223" s="6">
        <v>46116</v>
      </c>
      <c r="G223" s="23" t="s">
        <v>20</v>
      </c>
      <c r="H223" s="4" t="s">
        <v>21</v>
      </c>
      <c r="I223" s="4" t="s">
        <v>45</v>
      </c>
      <c r="J223" s="4" t="s">
        <v>46</v>
      </c>
      <c r="K223" s="4"/>
    </row>
    <row r="224" spans="1:11">
      <c r="A224" s="4" t="s">
        <v>120</v>
      </c>
      <c r="B224" s="4" t="s">
        <v>30</v>
      </c>
      <c r="C224" s="4">
        <v>3</v>
      </c>
      <c r="D224" s="71">
        <f>IFERROR(VLOOKUP(Easter[[#This Row],[Product Name]],'Lookup sheet'!$A$1:$D$31,4,FALSE),"")</f>
        <v>60</v>
      </c>
      <c r="E224" s="5">
        <f>IFERROR(Easter[[#This Row],[Price (Per Unit ₹)]]*Easter[[#This Row],[Quantity ]],"")</f>
        <v>180</v>
      </c>
      <c r="F224" s="6">
        <v>46114</v>
      </c>
      <c r="G224" s="25" t="s">
        <v>20</v>
      </c>
      <c r="H224" s="4" t="s">
        <v>21</v>
      </c>
      <c r="I224" s="4" t="s">
        <v>45</v>
      </c>
      <c r="J224" s="4" t="s">
        <v>36</v>
      </c>
      <c r="K224" s="4"/>
    </row>
    <row r="225" spans="1:11">
      <c r="A225" s="4" t="s">
        <v>120</v>
      </c>
      <c r="B225" s="4" t="s">
        <v>33</v>
      </c>
      <c r="C225" s="4">
        <v>1</v>
      </c>
      <c r="D225" s="71">
        <f>IFERROR(VLOOKUP(Easter[[#This Row],[Product Name]],'Lookup sheet'!$A$1:$D$31,4,FALSE),"")</f>
        <v>25</v>
      </c>
      <c r="E225" s="5">
        <f>IFERROR(Easter[[#This Row],[Price (Per Unit ₹)]]*Easter[[#This Row],[Quantity ]],"")</f>
        <v>25</v>
      </c>
      <c r="F225" s="6">
        <v>46114</v>
      </c>
      <c r="G225" s="25" t="s">
        <v>20</v>
      </c>
      <c r="H225" s="4" t="s">
        <v>21</v>
      </c>
      <c r="I225" s="4" t="s">
        <v>45</v>
      </c>
      <c r="J225" s="4" t="s">
        <v>36</v>
      </c>
      <c r="K225" s="4"/>
    </row>
    <row r="226" spans="1:11">
      <c r="A226" s="4" t="s">
        <v>120</v>
      </c>
      <c r="B226" s="4" t="s">
        <v>40</v>
      </c>
      <c r="C226" s="4">
        <v>1</v>
      </c>
      <c r="D226" s="71">
        <f>IFERROR(VLOOKUP(Easter[[#This Row],[Product Name]],'Lookup sheet'!$A$1:$D$31,4,FALSE),"")</f>
        <v>25</v>
      </c>
      <c r="E226" s="5">
        <f>IFERROR(Easter[[#This Row],[Price (Per Unit ₹)]]*Easter[[#This Row],[Quantity ]],"")</f>
        <v>25</v>
      </c>
      <c r="F226" s="6">
        <v>46114</v>
      </c>
      <c r="G226" s="25" t="s">
        <v>20</v>
      </c>
      <c r="H226" s="4" t="s">
        <v>21</v>
      </c>
      <c r="I226" s="4" t="s">
        <v>45</v>
      </c>
      <c r="J226" s="4" t="s">
        <v>36</v>
      </c>
      <c r="K226" s="4"/>
    </row>
    <row r="227" spans="1:11">
      <c r="A227" s="4" t="s">
        <v>120</v>
      </c>
      <c r="B227" s="4" t="s">
        <v>31</v>
      </c>
      <c r="C227" s="4">
        <v>2</v>
      </c>
      <c r="D227" s="71">
        <f>IFERROR(VLOOKUP(Easter[[#This Row],[Product Name]],'Lookup sheet'!$A$1:$D$31,4,FALSE),"")</f>
        <v>55</v>
      </c>
      <c r="E227" s="5">
        <f>IFERROR(Easter[[#This Row],[Price (Per Unit ₹)]]*Easter[[#This Row],[Quantity ]],"")</f>
        <v>110</v>
      </c>
      <c r="F227" s="6">
        <v>46114</v>
      </c>
      <c r="G227" s="25" t="s">
        <v>20</v>
      </c>
      <c r="H227" s="4" t="s">
        <v>21</v>
      </c>
      <c r="I227" s="4" t="s">
        <v>45</v>
      </c>
      <c r="J227" s="4" t="s">
        <v>36</v>
      </c>
      <c r="K227" s="4"/>
    </row>
    <row r="228" spans="1:11">
      <c r="A228" s="4" t="s">
        <v>120</v>
      </c>
      <c r="B228" s="4" t="s">
        <v>43</v>
      </c>
      <c r="C228" s="4">
        <v>1</v>
      </c>
      <c r="D228" s="71">
        <f>IFERROR(VLOOKUP(Easter[[#This Row],[Product Name]],'Lookup sheet'!$A$1:$D$31,4,FALSE),"")</f>
        <v>25</v>
      </c>
      <c r="E228" s="5">
        <f>IFERROR(Easter[[#This Row],[Price (Per Unit ₹)]]*Easter[[#This Row],[Quantity ]],"")</f>
        <v>25</v>
      </c>
      <c r="F228" s="6">
        <v>46114</v>
      </c>
      <c r="G228" s="25" t="s">
        <v>20</v>
      </c>
      <c r="H228" s="4" t="s">
        <v>21</v>
      </c>
      <c r="I228" s="4" t="s">
        <v>45</v>
      </c>
      <c r="J228" s="4" t="s">
        <v>36</v>
      </c>
      <c r="K228" s="4"/>
    </row>
    <row r="229" spans="1:11">
      <c r="A229" s="4" t="s">
        <v>120</v>
      </c>
      <c r="B229" s="4" t="s">
        <v>25</v>
      </c>
      <c r="C229" s="4">
        <v>2</v>
      </c>
      <c r="D229" s="71">
        <f>IFERROR(VLOOKUP(Easter[[#This Row],[Product Name]],'Lookup sheet'!$A$1:$D$31,4,FALSE),"")</f>
        <v>55</v>
      </c>
      <c r="E229" s="5">
        <f>IFERROR(Easter[[#This Row],[Price (Per Unit ₹)]]*Easter[[#This Row],[Quantity ]],"")</f>
        <v>110</v>
      </c>
      <c r="F229" s="6">
        <v>46114</v>
      </c>
      <c r="G229" s="25" t="s">
        <v>20</v>
      </c>
      <c r="H229" s="4" t="s">
        <v>21</v>
      </c>
      <c r="I229" s="4" t="s">
        <v>45</v>
      </c>
      <c r="J229" s="4" t="s">
        <v>36</v>
      </c>
      <c r="K229" s="4"/>
    </row>
    <row r="230" spans="1:11">
      <c r="A230" s="4" t="s">
        <v>120</v>
      </c>
      <c r="B230" s="4" t="s">
        <v>62</v>
      </c>
      <c r="C230" s="4">
        <v>1</v>
      </c>
      <c r="D230" s="71">
        <f>IFERROR(VLOOKUP(Easter[[#This Row],[Product Name]],'Lookup sheet'!$A$1:$D$31,4,FALSE),"")</f>
        <v>25</v>
      </c>
      <c r="E230" s="5">
        <f>IFERROR(Easter[[#This Row],[Price (Per Unit ₹)]]*Easter[[#This Row],[Quantity ]],"")</f>
        <v>25</v>
      </c>
      <c r="F230" s="6">
        <v>46114</v>
      </c>
      <c r="G230" s="25" t="s">
        <v>20</v>
      </c>
      <c r="H230" s="4" t="s">
        <v>21</v>
      </c>
      <c r="I230" s="4" t="s">
        <v>45</v>
      </c>
      <c r="J230" s="4" t="s">
        <v>36</v>
      </c>
      <c r="K230" s="4"/>
    </row>
    <row r="231" spans="1:11" hidden="1">
      <c r="A231" s="4" t="s">
        <v>121</v>
      </c>
      <c r="B231" s="4" t="s">
        <v>24</v>
      </c>
      <c r="C231" s="4">
        <v>2</v>
      </c>
      <c r="D231" s="33">
        <f>IFERROR(VLOOKUP(Easter[[#This Row],[Product Name]],'Lookup sheet'!$A$1:$D$31,4,FALSE),"")</f>
        <v>40</v>
      </c>
      <c r="E231" s="5">
        <f>IFERROR(Easter[[#This Row],[Price (Per Unit ₹)]]*Easter[[#This Row],[Quantity ]],"")</f>
        <v>80</v>
      </c>
      <c r="F231" s="6">
        <v>46116</v>
      </c>
      <c r="G231" s="25" t="s">
        <v>20</v>
      </c>
      <c r="H231" s="4" t="s">
        <v>21</v>
      </c>
      <c r="I231" s="4" t="s">
        <v>22</v>
      </c>
      <c r="J231" s="4" t="s">
        <v>23</v>
      </c>
      <c r="K231" s="4"/>
    </row>
    <row r="232" spans="1:11" hidden="1">
      <c r="A232" s="4" t="s">
        <v>121</v>
      </c>
      <c r="B232" s="4" t="s">
        <v>28</v>
      </c>
      <c r="C232" s="4">
        <v>2</v>
      </c>
      <c r="D232" s="33">
        <f>IFERROR(VLOOKUP(Easter[[#This Row],[Product Name]],'Lookup sheet'!$A$1:$D$31,4,FALSE),"")</f>
        <v>60</v>
      </c>
      <c r="E232" s="5">
        <f>IFERROR(Easter[[#This Row],[Price (Per Unit ₹)]]*Easter[[#This Row],[Quantity ]],"")</f>
        <v>120</v>
      </c>
      <c r="F232" s="6">
        <v>46116</v>
      </c>
      <c r="G232" s="25" t="s">
        <v>20</v>
      </c>
      <c r="H232" s="4" t="s">
        <v>21</v>
      </c>
      <c r="I232" s="4" t="s">
        <v>22</v>
      </c>
      <c r="J232" s="4" t="s">
        <v>23</v>
      </c>
      <c r="K232" s="4"/>
    </row>
    <row r="233" spans="1:11" hidden="1">
      <c r="A233" s="4" t="s">
        <v>122</v>
      </c>
      <c r="B233" s="4" t="s">
        <v>30</v>
      </c>
      <c r="C233" s="4">
        <v>1</v>
      </c>
      <c r="D233" s="33">
        <f>IFERROR(VLOOKUP(Easter[[#This Row],[Product Name]],'Lookup sheet'!$A$1:$D$31,4,FALSE),"")</f>
        <v>60</v>
      </c>
      <c r="E233" s="5">
        <f>IFERROR(Easter[[#This Row],[Price (Per Unit ₹)]]*Easter[[#This Row],[Quantity ]],"")</f>
        <v>60</v>
      </c>
      <c r="F233" s="6">
        <v>46116</v>
      </c>
      <c r="G233" s="25" t="s">
        <v>20</v>
      </c>
      <c r="H233" s="4" t="s">
        <v>21</v>
      </c>
      <c r="I233" s="4" t="s">
        <v>22</v>
      </c>
      <c r="J233" s="4" t="s">
        <v>23</v>
      </c>
      <c r="K233" s="4"/>
    </row>
    <row r="234" spans="1:11" hidden="1">
      <c r="A234" s="4" t="s">
        <v>122</v>
      </c>
      <c r="B234" s="4" t="s">
        <v>27</v>
      </c>
      <c r="C234" s="4">
        <v>1</v>
      </c>
      <c r="D234" s="33">
        <f>IFERROR(VLOOKUP(Easter[[#This Row],[Product Name]],'Lookup sheet'!$A$1:$D$31,4,FALSE),"")</f>
        <v>65</v>
      </c>
      <c r="E234" s="5">
        <f>IFERROR(Easter[[#This Row],[Price (Per Unit ₹)]]*Easter[[#This Row],[Quantity ]],"")</f>
        <v>65</v>
      </c>
      <c r="F234" s="6">
        <v>46116</v>
      </c>
      <c r="G234" s="25" t="s">
        <v>20</v>
      </c>
      <c r="H234" s="4" t="s">
        <v>21</v>
      </c>
      <c r="I234" s="4" t="s">
        <v>22</v>
      </c>
      <c r="J234" s="4" t="s">
        <v>23</v>
      </c>
      <c r="K234" s="4"/>
    </row>
    <row r="235" spans="1:11" hidden="1">
      <c r="A235" s="4" t="s">
        <v>122</v>
      </c>
      <c r="B235" s="4" t="s">
        <v>57</v>
      </c>
      <c r="C235" s="4">
        <v>1</v>
      </c>
      <c r="D235" s="33">
        <f>IFERROR(VLOOKUP(Easter[[#This Row],[Product Name]],'Lookup sheet'!$A$1:$D$31,4,FALSE),"")</f>
        <v>40</v>
      </c>
      <c r="E235" s="5">
        <f>IFERROR(Easter[[#This Row],[Price (Per Unit ₹)]]*Easter[[#This Row],[Quantity ]],"")</f>
        <v>40</v>
      </c>
      <c r="F235" s="6">
        <v>46116</v>
      </c>
      <c r="G235" s="25" t="s">
        <v>20</v>
      </c>
      <c r="H235" s="4" t="s">
        <v>21</v>
      </c>
      <c r="I235" s="4" t="s">
        <v>22</v>
      </c>
      <c r="J235" s="4" t="s">
        <v>23</v>
      </c>
      <c r="K235" s="4"/>
    </row>
    <row r="236" spans="1:11" hidden="1">
      <c r="A236" s="4" t="s">
        <v>122</v>
      </c>
      <c r="B236" s="4" t="s">
        <v>24</v>
      </c>
      <c r="C236" s="4">
        <v>2</v>
      </c>
      <c r="D236" s="33">
        <f>IFERROR(VLOOKUP(Easter[[#This Row],[Product Name]],'Lookup sheet'!$A$1:$D$31,4,FALSE),"")</f>
        <v>40</v>
      </c>
      <c r="E236" s="5">
        <f>IFERROR(Easter[[#This Row],[Price (Per Unit ₹)]]*Easter[[#This Row],[Quantity ]],"")</f>
        <v>80</v>
      </c>
      <c r="F236" s="6">
        <v>46116</v>
      </c>
      <c r="G236" s="25" t="s">
        <v>20</v>
      </c>
      <c r="H236" s="4" t="s">
        <v>21</v>
      </c>
      <c r="I236" s="4" t="s">
        <v>22</v>
      </c>
      <c r="J236" s="4" t="s">
        <v>23</v>
      </c>
      <c r="K236" s="4"/>
    </row>
    <row r="237" spans="1:11" hidden="1">
      <c r="A237" s="4" t="s">
        <v>122</v>
      </c>
      <c r="B237" s="4" t="s">
        <v>28</v>
      </c>
      <c r="C237" s="4">
        <v>1</v>
      </c>
      <c r="D237" s="33">
        <f>IFERROR(VLOOKUP(Easter[[#This Row],[Product Name]],'Lookup sheet'!$A$1:$D$31,4,FALSE),"")</f>
        <v>60</v>
      </c>
      <c r="E237" s="5">
        <f>IFERROR(Easter[[#This Row],[Price (Per Unit ₹)]]*Easter[[#This Row],[Quantity ]],"")</f>
        <v>60</v>
      </c>
      <c r="F237" s="6">
        <v>46116</v>
      </c>
      <c r="G237" s="25" t="s">
        <v>20</v>
      </c>
      <c r="H237" s="4" t="s">
        <v>21</v>
      </c>
      <c r="I237" s="4" t="s">
        <v>22</v>
      </c>
      <c r="J237" s="4" t="s">
        <v>23</v>
      </c>
      <c r="K237" s="4"/>
    </row>
    <row r="238" spans="1:11" hidden="1">
      <c r="A238" s="4" t="s">
        <v>122</v>
      </c>
      <c r="B238" s="4" t="s">
        <v>37</v>
      </c>
      <c r="C238" s="4">
        <v>2</v>
      </c>
      <c r="D238" s="33">
        <f>IFERROR(VLOOKUP(Easter[[#This Row],[Product Name]],'Lookup sheet'!$A$1:$D$31,4,FALSE),"")</f>
        <v>100</v>
      </c>
      <c r="E238" s="5">
        <f>IFERROR(Easter[[#This Row],[Price (Per Unit ₹)]]*Easter[[#This Row],[Quantity ]],"")</f>
        <v>200</v>
      </c>
      <c r="F238" s="6">
        <v>46116</v>
      </c>
      <c r="G238" s="25" t="s">
        <v>20</v>
      </c>
      <c r="H238" s="4" t="s">
        <v>21</v>
      </c>
      <c r="I238" s="4" t="s">
        <v>22</v>
      </c>
      <c r="J238" s="4" t="s">
        <v>23</v>
      </c>
      <c r="K238" s="4"/>
    </row>
    <row r="239" spans="1:11" hidden="1">
      <c r="A239" s="4" t="s">
        <v>123</v>
      </c>
      <c r="B239" s="4" t="s">
        <v>42</v>
      </c>
      <c r="C239" s="4">
        <v>2</v>
      </c>
      <c r="D239" s="33">
        <f>IFERROR(VLOOKUP(Easter[[#This Row],[Product Name]],'Lookup sheet'!$A$1:$D$31,4,FALSE),"")</f>
        <v>30</v>
      </c>
      <c r="E239" s="5">
        <f>IFERROR(Easter[[#This Row],[Price (Per Unit ₹)]]*Easter[[#This Row],[Quantity ]],"")</f>
        <v>60</v>
      </c>
      <c r="F239" s="6">
        <v>46116</v>
      </c>
      <c r="G239" s="25" t="s">
        <v>20</v>
      </c>
      <c r="H239" s="4" t="s">
        <v>21</v>
      </c>
      <c r="I239" s="4" t="s">
        <v>22</v>
      </c>
      <c r="J239" s="4" t="s">
        <v>23</v>
      </c>
      <c r="K239" s="4"/>
    </row>
    <row r="240" spans="1:11" hidden="1">
      <c r="A240" s="4" t="s">
        <v>123</v>
      </c>
      <c r="B240" s="4" t="s">
        <v>24</v>
      </c>
      <c r="C240" s="4">
        <v>1</v>
      </c>
      <c r="D240" s="33">
        <f>IFERROR(VLOOKUP(Easter[[#This Row],[Product Name]],'Lookup sheet'!$A$1:$D$31,4,FALSE),"")</f>
        <v>40</v>
      </c>
      <c r="E240" s="5">
        <f>IFERROR(Easter[[#This Row],[Price (Per Unit ₹)]]*Easter[[#This Row],[Quantity ]],"")</f>
        <v>40</v>
      </c>
      <c r="F240" s="6">
        <v>46116</v>
      </c>
      <c r="G240" s="25" t="s">
        <v>20</v>
      </c>
      <c r="H240" s="4" t="s">
        <v>21</v>
      </c>
      <c r="I240" s="4" t="s">
        <v>22</v>
      </c>
      <c r="J240" s="4" t="s">
        <v>23</v>
      </c>
      <c r="K240" s="4"/>
    </row>
    <row r="241" spans="1:11" hidden="1">
      <c r="A241" s="4" t="s">
        <v>123</v>
      </c>
      <c r="B241" s="4" t="s">
        <v>43</v>
      </c>
      <c r="C241" s="4">
        <v>2</v>
      </c>
      <c r="D241" s="33">
        <f>IFERROR(VLOOKUP(Easter[[#This Row],[Product Name]],'Lookup sheet'!$A$1:$D$31,4,FALSE),"")</f>
        <v>25</v>
      </c>
      <c r="E241" s="5">
        <f>IFERROR(Easter[[#This Row],[Price (Per Unit ₹)]]*Easter[[#This Row],[Quantity ]],"")</f>
        <v>50</v>
      </c>
      <c r="F241" s="6">
        <v>46116</v>
      </c>
      <c r="G241" s="25" t="s">
        <v>20</v>
      </c>
      <c r="H241" s="4" t="s">
        <v>21</v>
      </c>
      <c r="I241" s="4" t="s">
        <v>22</v>
      </c>
      <c r="J241" s="4" t="s">
        <v>23</v>
      </c>
      <c r="K241" s="4"/>
    </row>
    <row r="242" spans="1:11" hidden="1">
      <c r="A242" s="4" t="s">
        <v>123</v>
      </c>
      <c r="B242" s="4" t="s">
        <v>62</v>
      </c>
      <c r="C242" s="4">
        <v>2</v>
      </c>
      <c r="D242" s="33">
        <f>IFERROR(VLOOKUP(Easter[[#This Row],[Product Name]],'Lookup sheet'!$A$1:$D$31,4,FALSE),"")</f>
        <v>25</v>
      </c>
      <c r="E242" s="5">
        <f>IFERROR(Easter[[#This Row],[Price (Per Unit ₹)]]*Easter[[#This Row],[Quantity ]],"")</f>
        <v>50</v>
      </c>
      <c r="F242" s="6">
        <v>46116</v>
      </c>
      <c r="G242" s="25" t="s">
        <v>20</v>
      </c>
      <c r="H242" s="4" t="s">
        <v>21</v>
      </c>
      <c r="I242" s="4" t="s">
        <v>22</v>
      </c>
      <c r="J242" s="4" t="s">
        <v>23</v>
      </c>
      <c r="K242" s="4"/>
    </row>
    <row r="243" spans="1:11" hidden="1">
      <c r="A243" s="4" t="s">
        <v>124</v>
      </c>
      <c r="B243" s="4" t="s">
        <v>39</v>
      </c>
      <c r="C243" s="4">
        <v>1</v>
      </c>
      <c r="D243" s="33">
        <f>IFERROR(VLOOKUP(Easter[[#This Row],[Product Name]],'Lookup sheet'!$A$1:$D$31,4,FALSE),"")</f>
        <v>25</v>
      </c>
      <c r="E243" s="5">
        <f>IFERROR(Easter[[#This Row],[Price (Per Unit ₹)]]*Easter[[#This Row],[Quantity ]],"")</f>
        <v>25</v>
      </c>
      <c r="F243" s="6">
        <v>46107</v>
      </c>
      <c r="G243" s="25" t="s">
        <v>20</v>
      </c>
      <c r="H243" s="4" t="s">
        <v>21</v>
      </c>
      <c r="I243" s="4" t="s">
        <v>45</v>
      </c>
      <c r="J243" s="4" t="s">
        <v>46</v>
      </c>
      <c r="K243" s="4"/>
    </row>
    <row r="244" spans="1:11" hidden="1">
      <c r="A244" s="4" t="s">
        <v>124</v>
      </c>
      <c r="B244" s="4" t="s">
        <v>43</v>
      </c>
      <c r="C244" s="4">
        <v>1</v>
      </c>
      <c r="D244" s="33">
        <f>IFERROR(VLOOKUP(Easter[[#This Row],[Product Name]],'Lookup sheet'!$A$1:$D$31,4,FALSE),"")</f>
        <v>25</v>
      </c>
      <c r="E244" s="5">
        <f>IFERROR(Easter[[#This Row],[Price (Per Unit ₹)]]*Easter[[#This Row],[Quantity ]],"")</f>
        <v>25</v>
      </c>
      <c r="F244" s="6">
        <v>46107</v>
      </c>
      <c r="G244" s="25" t="s">
        <v>20</v>
      </c>
      <c r="H244" s="4" t="s">
        <v>21</v>
      </c>
      <c r="I244" s="4" t="s">
        <v>45</v>
      </c>
      <c r="J244" s="4" t="s">
        <v>46</v>
      </c>
      <c r="K244" s="4"/>
    </row>
    <row r="245" spans="1:11" hidden="1">
      <c r="A245" s="4" t="s">
        <v>124</v>
      </c>
      <c r="B245" s="4" t="s">
        <v>62</v>
      </c>
      <c r="C245" s="4">
        <v>1</v>
      </c>
      <c r="D245" s="33">
        <f>IFERROR(VLOOKUP(Easter[[#This Row],[Product Name]],'Lookup sheet'!$A$1:$D$31,4,FALSE),"")</f>
        <v>25</v>
      </c>
      <c r="E245" s="5">
        <f>IFERROR(Easter[[#This Row],[Price (Per Unit ₹)]]*Easter[[#This Row],[Quantity ]],"")</f>
        <v>25</v>
      </c>
      <c r="F245" s="6">
        <v>46107</v>
      </c>
      <c r="G245" s="25" t="s">
        <v>20</v>
      </c>
      <c r="H245" s="4" t="s">
        <v>21</v>
      </c>
      <c r="I245" s="4" t="s">
        <v>45</v>
      </c>
      <c r="J245" s="4" t="s">
        <v>46</v>
      </c>
      <c r="K245" s="4"/>
    </row>
    <row r="246" spans="1:11" hidden="1">
      <c r="A246" s="4" t="s">
        <v>124</v>
      </c>
      <c r="B246" s="4" t="s">
        <v>19</v>
      </c>
      <c r="C246" s="4">
        <v>1</v>
      </c>
      <c r="D246" s="71">
        <f>IFERROR(VLOOKUP(Easter[[#This Row],[Product Name]],'Lookup sheet'!$A$1:$D$31,4,FALSE),"")</f>
        <v>60</v>
      </c>
      <c r="E246" s="5">
        <f>IFERROR(Easter[[#This Row],[Price (Per Unit ₹)]]*Easter[[#This Row],[Quantity ]],"")</f>
        <v>60</v>
      </c>
      <c r="F246" s="6">
        <v>46116</v>
      </c>
      <c r="G246" s="25" t="s">
        <v>20</v>
      </c>
      <c r="H246" s="4" t="s">
        <v>21</v>
      </c>
      <c r="I246" s="4" t="s">
        <v>45</v>
      </c>
      <c r="J246" s="4" t="s">
        <v>46</v>
      </c>
      <c r="K246" s="4"/>
    </row>
    <row r="247" spans="1:11" hidden="1">
      <c r="A247" s="4" t="s">
        <v>124</v>
      </c>
      <c r="B247" s="4" t="s">
        <v>39</v>
      </c>
      <c r="C247" s="4">
        <v>4</v>
      </c>
      <c r="D247" s="71">
        <f>IFERROR(VLOOKUP(Easter[[#This Row],[Product Name]],'Lookup sheet'!$A$1:$D$31,4,FALSE),"")</f>
        <v>25</v>
      </c>
      <c r="E247" s="5">
        <f>IFERROR(Easter[[#This Row],[Price (Per Unit ₹)]]*Easter[[#This Row],[Quantity ]],"")</f>
        <v>100</v>
      </c>
      <c r="F247" s="6">
        <v>46116</v>
      </c>
      <c r="G247" s="25" t="s">
        <v>20</v>
      </c>
      <c r="H247" s="4" t="s">
        <v>21</v>
      </c>
      <c r="I247" s="4" t="s">
        <v>45</v>
      </c>
      <c r="J247" s="4" t="s">
        <v>46</v>
      </c>
      <c r="K247" s="4"/>
    </row>
    <row r="248" spans="1:11" hidden="1">
      <c r="A248" s="4" t="s">
        <v>124</v>
      </c>
      <c r="B248" s="4" t="s">
        <v>40</v>
      </c>
      <c r="C248" s="4">
        <v>1</v>
      </c>
      <c r="D248" s="71">
        <f>IFERROR(VLOOKUP(Easter[[#This Row],[Product Name]],'Lookup sheet'!$A$1:$D$31,4,FALSE),"")</f>
        <v>25</v>
      </c>
      <c r="E248" s="5">
        <f>IFERROR(Easter[[#This Row],[Price (Per Unit ₹)]]*Easter[[#This Row],[Quantity ]],"")</f>
        <v>25</v>
      </c>
      <c r="F248" s="6">
        <v>46116</v>
      </c>
      <c r="G248" s="25" t="s">
        <v>20</v>
      </c>
      <c r="H248" s="4" t="s">
        <v>21</v>
      </c>
      <c r="I248" s="4" t="s">
        <v>45</v>
      </c>
      <c r="J248" s="4" t="s">
        <v>46</v>
      </c>
      <c r="K248" s="4"/>
    </row>
    <row r="249" spans="1:11" hidden="1">
      <c r="A249" s="4" t="s">
        <v>124</v>
      </c>
      <c r="B249" s="4" t="s">
        <v>31</v>
      </c>
      <c r="C249" s="4">
        <v>7</v>
      </c>
      <c r="D249" s="71">
        <f>IFERROR(VLOOKUP(Easter[[#This Row],[Product Name]],'Lookup sheet'!$A$1:$D$31,4,FALSE),"")</f>
        <v>55</v>
      </c>
      <c r="E249" s="5">
        <f>IFERROR(Easter[[#This Row],[Price (Per Unit ₹)]]*Easter[[#This Row],[Quantity ]],"")</f>
        <v>385</v>
      </c>
      <c r="F249" s="6">
        <v>46116</v>
      </c>
      <c r="G249" s="25" t="s">
        <v>20</v>
      </c>
      <c r="H249" s="4" t="s">
        <v>21</v>
      </c>
      <c r="I249" s="4" t="s">
        <v>45</v>
      </c>
      <c r="J249" s="4" t="s">
        <v>46</v>
      </c>
      <c r="K249" s="4"/>
    </row>
    <row r="250" spans="1:11" hidden="1">
      <c r="A250" s="4" t="s">
        <v>124</v>
      </c>
      <c r="B250" s="4" t="s">
        <v>43</v>
      </c>
      <c r="C250" s="4">
        <v>5</v>
      </c>
      <c r="D250" s="71">
        <f>IFERROR(VLOOKUP(Easter[[#This Row],[Product Name]],'Lookup sheet'!$A$1:$D$31,4,FALSE),"")</f>
        <v>25</v>
      </c>
      <c r="E250" s="5">
        <f>IFERROR(Easter[[#This Row],[Price (Per Unit ₹)]]*Easter[[#This Row],[Quantity ]],"")</f>
        <v>125</v>
      </c>
      <c r="F250" s="6">
        <v>46116</v>
      </c>
      <c r="G250" s="25" t="s">
        <v>20</v>
      </c>
      <c r="H250" s="4" t="s">
        <v>21</v>
      </c>
      <c r="I250" s="4" t="s">
        <v>45</v>
      </c>
      <c r="J250" s="4" t="s">
        <v>46</v>
      </c>
      <c r="K250" s="4"/>
    </row>
    <row r="251" spans="1:11" hidden="1">
      <c r="A251" s="4" t="s">
        <v>125</v>
      </c>
      <c r="B251" s="4" t="s">
        <v>51</v>
      </c>
      <c r="C251" s="4">
        <v>5</v>
      </c>
      <c r="D251" s="71">
        <f>IFERROR(VLOOKUP(Easter[[#This Row],[Product Name]],'Lookup sheet'!$A$1:$D$31,4,FALSE),"")</f>
        <v>20</v>
      </c>
      <c r="E251" s="5">
        <f>IFERROR(Easter[[#This Row],[Price (Per Unit ₹)]]*Easter[[#This Row],[Quantity ]],"")</f>
        <v>100</v>
      </c>
      <c r="F251" s="6">
        <v>46117</v>
      </c>
      <c r="G251" s="23" t="s">
        <v>20</v>
      </c>
      <c r="H251" s="4" t="s">
        <v>21</v>
      </c>
      <c r="I251" s="4" t="s">
        <v>45</v>
      </c>
      <c r="J251" s="4" t="s">
        <v>46</v>
      </c>
      <c r="K251" s="4"/>
    </row>
    <row r="252" spans="1:11" hidden="1">
      <c r="A252" s="4" t="s">
        <v>125</v>
      </c>
      <c r="B252" s="4" t="s">
        <v>62</v>
      </c>
      <c r="C252" s="4">
        <v>5</v>
      </c>
      <c r="D252" s="71">
        <f>IFERROR(VLOOKUP(Easter[[#This Row],[Product Name]],'Lookup sheet'!$A$1:$D$31,4,FALSE),"")</f>
        <v>25</v>
      </c>
      <c r="E252" s="5">
        <f>IFERROR(Easter[[#This Row],[Price (Per Unit ₹)]]*Easter[[#This Row],[Quantity ]],"")</f>
        <v>125</v>
      </c>
      <c r="F252" s="6">
        <v>46117</v>
      </c>
      <c r="G252" s="23" t="s">
        <v>20</v>
      </c>
      <c r="H252" s="4" t="s">
        <v>21</v>
      </c>
      <c r="I252" s="4" t="s">
        <v>45</v>
      </c>
      <c r="J252" s="4" t="s">
        <v>46</v>
      </c>
      <c r="K252" s="4"/>
    </row>
    <row r="253" spans="1:11" hidden="1">
      <c r="A253" s="4" t="s">
        <v>125</v>
      </c>
      <c r="B253" s="4" t="s">
        <v>40</v>
      </c>
      <c r="C253" s="4">
        <v>5</v>
      </c>
      <c r="D253" s="71">
        <f>IFERROR(VLOOKUP(Easter[[#This Row],[Product Name]],'Lookup sheet'!$A$1:$D$31,4,FALSE),"")</f>
        <v>25</v>
      </c>
      <c r="E253" s="5">
        <f>IFERROR(Easter[[#This Row],[Price (Per Unit ₹)]]*Easter[[#This Row],[Quantity ]],"")</f>
        <v>125</v>
      </c>
      <c r="F253" s="6">
        <v>46117</v>
      </c>
      <c r="G253" s="23" t="s">
        <v>20</v>
      </c>
      <c r="H253" s="4" t="s">
        <v>21</v>
      </c>
      <c r="I253" s="4" t="s">
        <v>45</v>
      </c>
      <c r="J253" s="4" t="s">
        <v>46</v>
      </c>
      <c r="K253" s="4"/>
    </row>
    <row r="254" spans="1:11" hidden="1">
      <c r="A254" s="4" t="s">
        <v>126</v>
      </c>
      <c r="B254" s="4" t="s">
        <v>39</v>
      </c>
      <c r="C254" s="4">
        <v>10</v>
      </c>
      <c r="D254" s="33">
        <f>IFERROR(VLOOKUP(Easter[[#This Row],[Product Name]],'Lookup sheet'!$A$1:$D$31,4,FALSE),"")</f>
        <v>25</v>
      </c>
      <c r="E254" s="5">
        <f>IFERROR(Easter[[#This Row],[Price (Per Unit ₹)]]*Easter[[#This Row],[Quantity ]],"")</f>
        <v>250</v>
      </c>
      <c r="F254" s="6">
        <v>46112</v>
      </c>
      <c r="G254" s="25" t="s">
        <v>20</v>
      </c>
      <c r="H254" s="4" t="s">
        <v>21</v>
      </c>
      <c r="I254" s="4" t="s">
        <v>45</v>
      </c>
      <c r="J254" s="4" t="s">
        <v>46</v>
      </c>
      <c r="K254" s="4"/>
    </row>
    <row r="255" spans="1:11" hidden="1">
      <c r="A255" s="4" t="s">
        <v>126</v>
      </c>
      <c r="B255" s="4" t="s">
        <v>40</v>
      </c>
      <c r="C255" s="4">
        <v>5</v>
      </c>
      <c r="D255" s="33">
        <f>IFERROR(VLOOKUP(Easter[[#This Row],[Product Name]],'Lookup sheet'!$A$1:$D$31,4,FALSE),"")</f>
        <v>25</v>
      </c>
      <c r="E255" s="5">
        <f>IFERROR(Easter[[#This Row],[Price (Per Unit ₹)]]*Easter[[#This Row],[Quantity ]],"")</f>
        <v>125</v>
      </c>
      <c r="F255" s="6">
        <v>46112</v>
      </c>
      <c r="G255" s="25" t="s">
        <v>20</v>
      </c>
      <c r="H255" s="4" t="s">
        <v>21</v>
      </c>
      <c r="I255" s="4" t="s">
        <v>45</v>
      </c>
      <c r="J255" s="4" t="s">
        <v>46</v>
      </c>
      <c r="K255" s="4"/>
    </row>
    <row r="256" spans="1:11" hidden="1">
      <c r="A256" s="4" t="s">
        <v>126</v>
      </c>
      <c r="B256" s="4" t="s">
        <v>43</v>
      </c>
      <c r="C256" s="4">
        <v>5</v>
      </c>
      <c r="D256" s="33">
        <f>IFERROR(VLOOKUP(Easter[[#This Row],[Product Name]],'Lookup sheet'!$A$1:$D$31,4,FALSE),"")</f>
        <v>25</v>
      </c>
      <c r="E256" s="5">
        <f>IFERROR(Easter[[#This Row],[Price (Per Unit ₹)]]*Easter[[#This Row],[Quantity ]],"")</f>
        <v>125</v>
      </c>
      <c r="F256" s="6">
        <v>46112</v>
      </c>
      <c r="G256" s="25" t="s">
        <v>20</v>
      </c>
      <c r="H256" s="4" t="s">
        <v>21</v>
      </c>
      <c r="I256" s="4" t="s">
        <v>45</v>
      </c>
      <c r="J256" s="4" t="s">
        <v>46</v>
      </c>
      <c r="K256" s="4"/>
    </row>
    <row r="257" spans="1:11" hidden="1">
      <c r="A257" s="4" t="s">
        <v>126</v>
      </c>
      <c r="B257" s="4" t="s">
        <v>47</v>
      </c>
      <c r="C257" s="4">
        <v>5</v>
      </c>
      <c r="D257" s="33">
        <f>IFERROR(VLOOKUP(Easter[[#This Row],[Product Name]],'Lookup sheet'!$A$1:$D$31,4,FALSE),"")</f>
        <v>20</v>
      </c>
      <c r="E257" s="5">
        <f>IFERROR(Easter[[#This Row],[Price (Per Unit ₹)]]*Easter[[#This Row],[Quantity ]],"")</f>
        <v>100</v>
      </c>
      <c r="F257" s="6">
        <v>46112</v>
      </c>
      <c r="G257" s="25" t="s">
        <v>20</v>
      </c>
      <c r="H257" s="4" t="s">
        <v>21</v>
      </c>
      <c r="I257" s="4" t="s">
        <v>45</v>
      </c>
      <c r="J257" s="4" t="s">
        <v>46</v>
      </c>
      <c r="K257" s="4"/>
    </row>
    <row r="258" spans="1:11" hidden="1">
      <c r="A258" s="4" t="s">
        <v>127</v>
      </c>
      <c r="B258" s="4" t="s">
        <v>19</v>
      </c>
      <c r="C258" s="4">
        <v>1</v>
      </c>
      <c r="D258" s="71">
        <f>IFERROR(VLOOKUP(Easter[[#This Row],[Product Name]],'Lookup sheet'!$A$1:$D$31,4,FALSE),"")</f>
        <v>60</v>
      </c>
      <c r="E258" s="5">
        <f>IFERROR(Easter[[#This Row],[Price (Per Unit ₹)]]*Easter[[#This Row],[Quantity ]],"")</f>
        <v>60</v>
      </c>
      <c r="F258" s="6">
        <v>46116</v>
      </c>
      <c r="G258" s="25" t="s">
        <v>20</v>
      </c>
      <c r="H258" s="4" t="s">
        <v>21</v>
      </c>
      <c r="I258" s="4" t="s">
        <v>22</v>
      </c>
      <c r="J258" s="4" t="s">
        <v>23</v>
      </c>
      <c r="K258" s="4"/>
    </row>
    <row r="259" spans="1:11" hidden="1">
      <c r="A259" s="4" t="s">
        <v>127</v>
      </c>
      <c r="B259" s="4" t="s">
        <v>27</v>
      </c>
      <c r="C259" s="4">
        <v>1</v>
      </c>
      <c r="D259" s="71">
        <f>IFERROR(VLOOKUP(Easter[[#This Row],[Product Name]],'Lookup sheet'!$A$1:$D$31,4,FALSE),"")</f>
        <v>65</v>
      </c>
      <c r="E259" s="5">
        <f>IFERROR(Easter[[#This Row],[Price (Per Unit ₹)]]*Easter[[#This Row],[Quantity ]],"")</f>
        <v>65</v>
      </c>
      <c r="F259" s="6">
        <v>46116</v>
      </c>
      <c r="G259" s="25" t="s">
        <v>20</v>
      </c>
      <c r="H259" s="4" t="s">
        <v>21</v>
      </c>
      <c r="I259" s="4" t="s">
        <v>22</v>
      </c>
      <c r="J259" s="4" t="s">
        <v>23</v>
      </c>
      <c r="K259" s="4"/>
    </row>
    <row r="260" spans="1:11" hidden="1">
      <c r="A260" s="4" t="s">
        <v>127</v>
      </c>
      <c r="B260" s="4" t="s">
        <v>25</v>
      </c>
      <c r="C260" s="4">
        <v>6</v>
      </c>
      <c r="D260" s="71">
        <f>IFERROR(VLOOKUP(Easter[[#This Row],[Product Name]],'Lookup sheet'!$A$1:$D$31,4,FALSE),"")</f>
        <v>55</v>
      </c>
      <c r="E260" s="5">
        <f>IFERROR(Easter[[#This Row],[Price (Per Unit ₹)]]*Easter[[#This Row],[Quantity ]],"")</f>
        <v>330</v>
      </c>
      <c r="F260" s="6">
        <v>46116</v>
      </c>
      <c r="G260" s="25" t="s">
        <v>20</v>
      </c>
      <c r="H260" s="4" t="s">
        <v>21</v>
      </c>
      <c r="I260" s="4" t="s">
        <v>22</v>
      </c>
      <c r="J260" s="4" t="s">
        <v>23</v>
      </c>
      <c r="K260" s="4"/>
    </row>
    <row r="261" spans="1:11" hidden="1">
      <c r="A261" s="4" t="s">
        <v>128</v>
      </c>
      <c r="B261" s="4" t="s">
        <v>42</v>
      </c>
      <c r="C261" s="4">
        <v>10</v>
      </c>
      <c r="D261" s="33">
        <f>IFERROR(VLOOKUP(Easter[[#This Row],[Product Name]],'Lookup sheet'!$A$1:$D$31,4,FALSE),"")</f>
        <v>30</v>
      </c>
      <c r="E261" s="5">
        <f>IFERROR(Easter[[#This Row],[Price (Per Unit ₹)]]*Easter[[#This Row],[Quantity ]],"")</f>
        <v>300</v>
      </c>
      <c r="F261" s="6">
        <v>46117</v>
      </c>
      <c r="G261" s="25" t="s">
        <v>20</v>
      </c>
      <c r="H261" s="4" t="s">
        <v>21</v>
      </c>
      <c r="I261" s="4" t="s">
        <v>22</v>
      </c>
      <c r="J261" s="4" t="s">
        <v>23</v>
      </c>
      <c r="K261" s="4"/>
    </row>
    <row r="262" spans="1:11" hidden="1">
      <c r="A262" s="4" t="s">
        <v>128</v>
      </c>
      <c r="B262" s="4" t="s">
        <v>40</v>
      </c>
      <c r="C262" s="4">
        <v>6</v>
      </c>
      <c r="D262" s="33">
        <f>IFERROR(VLOOKUP(Easter[[#This Row],[Product Name]],'Lookup sheet'!$A$1:$D$31,4,FALSE),"")</f>
        <v>25</v>
      </c>
      <c r="E262" s="5">
        <f>IFERROR(Easter[[#This Row],[Price (Per Unit ₹)]]*Easter[[#This Row],[Quantity ]],"")</f>
        <v>150</v>
      </c>
      <c r="F262" s="6">
        <v>46117</v>
      </c>
      <c r="G262" s="25" t="s">
        <v>20</v>
      </c>
      <c r="H262" s="4" t="s">
        <v>21</v>
      </c>
      <c r="I262" s="4" t="s">
        <v>22</v>
      </c>
      <c r="J262" s="4" t="s">
        <v>23</v>
      </c>
      <c r="K262" s="4"/>
    </row>
    <row r="263" spans="1:11" hidden="1">
      <c r="A263" s="4" t="s">
        <v>128</v>
      </c>
      <c r="B263" s="4" t="s">
        <v>43</v>
      </c>
      <c r="C263" s="4">
        <v>4</v>
      </c>
      <c r="D263" s="33">
        <f>IFERROR(VLOOKUP(Easter[[#This Row],[Product Name]],'Lookup sheet'!$A$1:$D$31,4,FALSE),"")</f>
        <v>25</v>
      </c>
      <c r="E263" s="5">
        <f>IFERROR(Easter[[#This Row],[Price (Per Unit ₹)]]*Easter[[#This Row],[Quantity ]],"")</f>
        <v>100</v>
      </c>
      <c r="F263" s="6">
        <v>46117</v>
      </c>
      <c r="G263" s="25" t="s">
        <v>20</v>
      </c>
      <c r="H263" s="4" t="s">
        <v>21</v>
      </c>
      <c r="I263" s="4" t="s">
        <v>22</v>
      </c>
      <c r="J263" s="4" t="s">
        <v>23</v>
      </c>
      <c r="K263" s="4"/>
    </row>
    <row r="264" spans="1:11" hidden="1">
      <c r="A264" s="4" t="s">
        <v>128</v>
      </c>
      <c r="B264" s="4" t="s">
        <v>39</v>
      </c>
      <c r="C264" s="4">
        <v>4</v>
      </c>
      <c r="D264" s="33">
        <f>IFERROR(VLOOKUP(Easter[[#This Row],[Product Name]],'Lookup sheet'!$A$1:$D$31,4,FALSE),"")</f>
        <v>25</v>
      </c>
      <c r="E264" s="5">
        <f>IFERROR(Easter[[#This Row],[Price (Per Unit ₹)]]*Easter[[#This Row],[Quantity ]],"")</f>
        <v>100</v>
      </c>
      <c r="F264" s="6">
        <v>46117</v>
      </c>
      <c r="G264" s="25" t="s">
        <v>20</v>
      </c>
      <c r="H264" s="4" t="s">
        <v>21</v>
      </c>
      <c r="I264" s="4" t="s">
        <v>22</v>
      </c>
      <c r="J264" s="4" t="s">
        <v>23</v>
      </c>
      <c r="K264" s="4"/>
    </row>
    <row r="265" spans="1:11" hidden="1">
      <c r="A265" s="4" t="s">
        <v>129</v>
      </c>
      <c r="B265" s="4" t="s">
        <v>58</v>
      </c>
      <c r="C265" s="4">
        <v>1</v>
      </c>
      <c r="D265" s="71">
        <f>IFERROR(VLOOKUP(Easter[[#This Row],[Product Name]],'Lookup sheet'!$A$1:$D$31,4,FALSE),"")</f>
        <v>130</v>
      </c>
      <c r="E265" s="5">
        <f>IFERROR(Easter[[#This Row],[Price (Per Unit ₹)]]*Easter[[#This Row],[Quantity ]],"")</f>
        <v>130</v>
      </c>
      <c r="F265" s="6">
        <v>46112</v>
      </c>
      <c r="G265" s="25" t="s">
        <v>20</v>
      </c>
      <c r="H265" s="25" t="s">
        <v>21</v>
      </c>
      <c r="I265" s="4" t="s">
        <v>45</v>
      </c>
      <c r="J265" s="4" t="s">
        <v>46</v>
      </c>
      <c r="K265" s="4"/>
    </row>
    <row r="266" spans="1:11" hidden="1">
      <c r="A266" s="4" t="s">
        <v>129</v>
      </c>
      <c r="B266" s="4" t="s">
        <v>60</v>
      </c>
      <c r="C266" s="4">
        <v>1</v>
      </c>
      <c r="D266" s="71">
        <f>IFERROR(VLOOKUP(Easter[[#This Row],[Product Name]],'Lookup sheet'!$A$1:$D$31,4,FALSE),"")</f>
        <v>130</v>
      </c>
      <c r="E266" s="5">
        <f>IFERROR(Easter[[#This Row],[Price (Per Unit ₹)]]*Easter[[#This Row],[Quantity ]],"")</f>
        <v>130</v>
      </c>
      <c r="F266" s="6">
        <v>46112</v>
      </c>
      <c r="G266" s="25" t="s">
        <v>20</v>
      </c>
      <c r="H266" s="25" t="s">
        <v>21</v>
      </c>
      <c r="I266" s="4" t="s">
        <v>45</v>
      </c>
      <c r="J266" s="4" t="s">
        <v>46</v>
      </c>
      <c r="K266" s="4"/>
    </row>
    <row r="267" spans="1:11" hidden="1">
      <c r="A267" s="4" t="s">
        <v>130</v>
      </c>
      <c r="B267" s="4" t="s">
        <v>35</v>
      </c>
      <c r="C267" s="4">
        <v>3</v>
      </c>
      <c r="D267" s="71">
        <f>IFERROR(VLOOKUP(Easter[[#This Row],[Product Name]],'Lookup sheet'!$A$1:$D$31,4,FALSE),"")</f>
        <v>150</v>
      </c>
      <c r="E267" s="5">
        <f>IFERROR(Easter[[#This Row],[Price (Per Unit ₹)]]*Easter[[#This Row],[Quantity ]],"")</f>
        <v>450</v>
      </c>
      <c r="F267" s="6">
        <v>46117</v>
      </c>
      <c r="G267" s="25" t="s">
        <v>20</v>
      </c>
      <c r="H267" s="4" t="s">
        <v>21</v>
      </c>
      <c r="I267" s="4" t="s">
        <v>45</v>
      </c>
      <c r="J267" s="4" t="s">
        <v>46</v>
      </c>
      <c r="K267" s="4"/>
    </row>
    <row r="268" spans="1:11" hidden="1">
      <c r="A268" s="4" t="s">
        <v>131</v>
      </c>
      <c r="B268" s="4" t="s">
        <v>39</v>
      </c>
      <c r="C268" s="4">
        <v>1</v>
      </c>
      <c r="D268" s="33">
        <f>IFERROR(VLOOKUP(Easter[[#This Row],[Product Name]],'Lookup sheet'!$A$1:$D$31,4,FALSE),"")</f>
        <v>25</v>
      </c>
      <c r="E268" s="5">
        <f>IFERROR(Easter[[#This Row],[Price (Per Unit ₹)]]*Easter[[#This Row],[Quantity ]],"")</f>
        <v>25</v>
      </c>
      <c r="F268" s="6">
        <v>46107</v>
      </c>
      <c r="G268" s="25" t="s">
        <v>20</v>
      </c>
      <c r="H268" s="4" t="s">
        <v>21</v>
      </c>
      <c r="I268" s="4" t="s">
        <v>22</v>
      </c>
      <c r="J268" s="4" t="s">
        <v>23</v>
      </c>
      <c r="K268" s="4"/>
    </row>
    <row r="269" spans="1:11" hidden="1">
      <c r="A269" s="4" t="s">
        <v>131</v>
      </c>
      <c r="B269" s="4" t="s">
        <v>42</v>
      </c>
      <c r="C269" s="4">
        <v>1</v>
      </c>
      <c r="D269" s="33">
        <f>IFERROR(VLOOKUP(Easter[[#This Row],[Product Name]],'Lookup sheet'!$A$1:$D$31,4,FALSE),"")</f>
        <v>30</v>
      </c>
      <c r="E269" s="5">
        <f>IFERROR(Easter[[#This Row],[Price (Per Unit ₹)]]*Easter[[#This Row],[Quantity ]],"")</f>
        <v>30</v>
      </c>
      <c r="F269" s="6">
        <v>46107</v>
      </c>
      <c r="G269" s="25" t="s">
        <v>20</v>
      </c>
      <c r="H269" s="4" t="s">
        <v>21</v>
      </c>
      <c r="I269" s="4" t="s">
        <v>22</v>
      </c>
      <c r="J269" s="4" t="s">
        <v>23</v>
      </c>
      <c r="K269" s="4"/>
    </row>
    <row r="270" spans="1:11" hidden="1">
      <c r="A270" s="4" t="s">
        <v>131</v>
      </c>
      <c r="B270" s="4" t="s">
        <v>40</v>
      </c>
      <c r="C270" s="4">
        <v>1</v>
      </c>
      <c r="D270" s="33">
        <f>IFERROR(VLOOKUP(Easter[[#This Row],[Product Name]],'Lookup sheet'!$A$1:$D$31,4,FALSE),"")</f>
        <v>25</v>
      </c>
      <c r="E270" s="5">
        <f>IFERROR(Easter[[#This Row],[Price (Per Unit ₹)]]*Easter[[#This Row],[Quantity ]],"")</f>
        <v>25</v>
      </c>
      <c r="F270" s="6">
        <v>46107</v>
      </c>
      <c r="G270" s="25" t="s">
        <v>20</v>
      </c>
      <c r="H270" s="4" t="s">
        <v>21</v>
      </c>
      <c r="I270" s="4" t="s">
        <v>22</v>
      </c>
      <c r="J270" s="4" t="s">
        <v>23</v>
      </c>
      <c r="K270" s="4"/>
    </row>
    <row r="271" spans="1:11" hidden="1">
      <c r="A271" s="4" t="s">
        <v>131</v>
      </c>
      <c r="B271" s="4" t="s">
        <v>43</v>
      </c>
      <c r="C271" s="4">
        <v>1</v>
      </c>
      <c r="D271" s="33">
        <f>IFERROR(VLOOKUP(Easter[[#This Row],[Product Name]],'Lookup sheet'!$A$1:$D$31,4,FALSE),"")</f>
        <v>25</v>
      </c>
      <c r="E271" s="5">
        <f>IFERROR(Easter[[#This Row],[Price (Per Unit ₹)]]*Easter[[#This Row],[Quantity ]],"")</f>
        <v>25</v>
      </c>
      <c r="F271" s="6">
        <v>46107</v>
      </c>
      <c r="G271" s="25" t="s">
        <v>20</v>
      </c>
      <c r="H271" s="4" t="s">
        <v>21</v>
      </c>
      <c r="I271" s="4" t="s">
        <v>22</v>
      </c>
      <c r="J271" s="4" t="s">
        <v>23</v>
      </c>
      <c r="K271" s="4"/>
    </row>
    <row r="272" spans="1:11" hidden="1">
      <c r="A272" s="4" t="s">
        <v>131</v>
      </c>
      <c r="B272" s="4" t="s">
        <v>47</v>
      </c>
      <c r="C272" s="4">
        <v>1</v>
      </c>
      <c r="D272" s="33">
        <f>IFERROR(VLOOKUP(Easter[[#This Row],[Product Name]],'Lookup sheet'!$A$1:$D$31,4,FALSE),"")</f>
        <v>20</v>
      </c>
      <c r="E272" s="5">
        <f>IFERROR(Easter[[#This Row],[Price (Per Unit ₹)]]*Easter[[#This Row],[Quantity ]],"")</f>
        <v>20</v>
      </c>
      <c r="F272" s="6">
        <v>46107</v>
      </c>
      <c r="G272" s="25" t="s">
        <v>20</v>
      </c>
      <c r="H272" s="4" t="s">
        <v>21</v>
      </c>
      <c r="I272" s="4" t="s">
        <v>22</v>
      </c>
      <c r="J272" s="4" t="s">
        <v>23</v>
      </c>
      <c r="K272" s="4"/>
    </row>
    <row r="273" spans="1:11" hidden="1">
      <c r="A273" s="4" t="s">
        <v>131</v>
      </c>
      <c r="B273" s="4" t="s">
        <v>62</v>
      </c>
      <c r="C273" s="4">
        <v>1</v>
      </c>
      <c r="D273" s="33">
        <f>IFERROR(VLOOKUP(Easter[[#This Row],[Product Name]],'Lookup sheet'!$A$1:$D$31,4,FALSE),"")</f>
        <v>25</v>
      </c>
      <c r="E273" s="5">
        <f>IFERROR(Easter[[#This Row],[Price (Per Unit ₹)]]*Easter[[#This Row],[Quantity ]],"")</f>
        <v>25</v>
      </c>
      <c r="F273" s="6">
        <v>46107</v>
      </c>
      <c r="G273" s="25" t="s">
        <v>20</v>
      </c>
      <c r="H273" s="4" t="s">
        <v>21</v>
      </c>
      <c r="I273" s="4" t="s">
        <v>22</v>
      </c>
      <c r="J273" s="4" t="s">
        <v>23</v>
      </c>
      <c r="K273" s="4"/>
    </row>
    <row r="274" spans="1:11" hidden="1">
      <c r="A274" s="4" t="s">
        <v>131</v>
      </c>
      <c r="B274" s="4" t="s">
        <v>58</v>
      </c>
      <c r="C274" s="4">
        <v>4</v>
      </c>
      <c r="D274" s="71">
        <f>IFERROR(VLOOKUP(Easter[[#This Row],[Product Name]],'Lookup sheet'!$A$1:$D$31,4,FALSE),"")</f>
        <v>130</v>
      </c>
      <c r="E274" s="5">
        <f>IFERROR(Easter[[#This Row],[Price (Per Unit ₹)]]*Easter[[#This Row],[Quantity ]],"")</f>
        <v>520</v>
      </c>
      <c r="F274" s="6">
        <v>46116</v>
      </c>
      <c r="G274" s="25" t="s">
        <v>20</v>
      </c>
      <c r="H274" s="4" t="s">
        <v>21</v>
      </c>
      <c r="I274" s="4" t="s">
        <v>22</v>
      </c>
      <c r="J274" s="4" t="s">
        <v>23</v>
      </c>
      <c r="K274" s="4"/>
    </row>
    <row r="275" spans="1:11" hidden="1">
      <c r="A275" s="4" t="s">
        <v>131</v>
      </c>
      <c r="B275" s="4" t="s">
        <v>60</v>
      </c>
      <c r="C275" s="4">
        <v>2</v>
      </c>
      <c r="D275" s="71">
        <f>IFERROR(VLOOKUP(Easter[[#This Row],[Product Name]],'Lookup sheet'!$A$1:$D$31,4,FALSE),"")</f>
        <v>130</v>
      </c>
      <c r="E275" s="5">
        <f>IFERROR(Easter[[#This Row],[Price (Per Unit ₹)]]*Easter[[#This Row],[Quantity ]],"")</f>
        <v>260</v>
      </c>
      <c r="F275" s="6">
        <v>46116</v>
      </c>
      <c r="G275" s="25" t="s">
        <v>20</v>
      </c>
      <c r="H275" s="4" t="s">
        <v>21</v>
      </c>
      <c r="I275" s="4" t="s">
        <v>22</v>
      </c>
      <c r="J275" s="4" t="s">
        <v>23</v>
      </c>
      <c r="K275" s="4"/>
    </row>
    <row r="276" spans="1:11" hidden="1">
      <c r="A276" s="4" t="s">
        <v>132</v>
      </c>
      <c r="B276" s="4" t="s">
        <v>56</v>
      </c>
      <c r="C276" s="4">
        <v>2</v>
      </c>
      <c r="D276" s="33">
        <f>IFERROR(VLOOKUP(Easter[[#This Row],[Product Name]],'Lookup sheet'!$A$1:$D$31,4,FALSE),"")</f>
        <v>110</v>
      </c>
      <c r="E276" s="5">
        <f>IFERROR(Easter[[#This Row],[Price (Per Unit ₹)]]*Easter[[#This Row],[Quantity ]],"")</f>
        <v>220</v>
      </c>
      <c r="F276" s="6">
        <v>46107</v>
      </c>
      <c r="G276" s="23" t="s">
        <v>20</v>
      </c>
      <c r="H276" s="4" t="s">
        <v>21</v>
      </c>
      <c r="I276" s="4" t="s">
        <v>22</v>
      </c>
      <c r="J276" s="4" t="s">
        <v>23</v>
      </c>
      <c r="K276" s="4"/>
    </row>
    <row r="277" spans="1:11" hidden="1">
      <c r="A277" s="4" t="s">
        <v>132</v>
      </c>
      <c r="B277" s="4" t="s">
        <v>58</v>
      </c>
      <c r="C277" s="4">
        <v>2</v>
      </c>
      <c r="D277" s="33">
        <f>IFERROR(VLOOKUP(Easter[[#This Row],[Product Name]],'Lookup sheet'!$A$1:$D$31,4,FALSE),"")</f>
        <v>130</v>
      </c>
      <c r="E277" s="5">
        <f>IFERROR(Easter[[#This Row],[Price (Per Unit ₹)]]*Easter[[#This Row],[Quantity ]],"")</f>
        <v>260</v>
      </c>
      <c r="F277" s="6">
        <v>46107</v>
      </c>
      <c r="G277" s="23" t="s">
        <v>20</v>
      </c>
      <c r="H277" s="4" t="s">
        <v>21</v>
      </c>
      <c r="I277" s="4" t="s">
        <v>22</v>
      </c>
      <c r="J277" s="4" t="s">
        <v>23</v>
      </c>
      <c r="K277" s="4"/>
    </row>
    <row r="278" spans="1:11" hidden="1">
      <c r="A278" s="4" t="s">
        <v>133</v>
      </c>
      <c r="B278" s="4" t="s">
        <v>19</v>
      </c>
      <c r="C278" s="4">
        <v>1</v>
      </c>
      <c r="D278" s="71">
        <f>IFERROR(VLOOKUP(Easter[[#This Row],[Product Name]],'Lookup sheet'!$A$1:$D$31,4,FALSE),"")</f>
        <v>60</v>
      </c>
      <c r="E278" s="5">
        <f>IFERROR(Easter[[#This Row],[Price (Per Unit ₹)]]*Easter[[#This Row],[Quantity ]],"")</f>
        <v>60</v>
      </c>
      <c r="F278" s="6">
        <v>46116</v>
      </c>
      <c r="G278" s="25" t="s">
        <v>20</v>
      </c>
      <c r="H278" s="4" t="s">
        <v>21</v>
      </c>
      <c r="I278" s="4" t="s">
        <v>45</v>
      </c>
      <c r="J278" s="4" t="s">
        <v>46</v>
      </c>
      <c r="K278" s="4"/>
    </row>
    <row r="279" spans="1:11" hidden="1">
      <c r="A279" s="4" t="s">
        <v>133</v>
      </c>
      <c r="B279" s="4" t="s">
        <v>27</v>
      </c>
      <c r="C279" s="4">
        <v>1</v>
      </c>
      <c r="D279" s="71">
        <f>IFERROR(VLOOKUP(Easter[[#This Row],[Product Name]],'Lookup sheet'!$A$1:$D$31,4,FALSE),"")</f>
        <v>65</v>
      </c>
      <c r="E279" s="5">
        <f>IFERROR(Easter[[#This Row],[Price (Per Unit ₹)]]*Easter[[#This Row],[Quantity ]],"")</f>
        <v>65</v>
      </c>
      <c r="F279" s="6">
        <v>46116</v>
      </c>
      <c r="G279" s="25" t="s">
        <v>20</v>
      </c>
      <c r="H279" s="4" t="s">
        <v>21</v>
      </c>
      <c r="I279" s="4" t="s">
        <v>45</v>
      </c>
      <c r="J279" s="4" t="s">
        <v>46</v>
      </c>
      <c r="K279" s="4"/>
    </row>
    <row r="280" spans="1:11" hidden="1">
      <c r="A280" s="4" t="s">
        <v>133</v>
      </c>
      <c r="B280" s="4" t="s">
        <v>31</v>
      </c>
      <c r="C280" s="4">
        <v>1</v>
      </c>
      <c r="D280" s="71">
        <f>IFERROR(VLOOKUP(Easter[[#This Row],[Product Name]],'Lookup sheet'!$A$1:$D$31,4,FALSE),"")</f>
        <v>55</v>
      </c>
      <c r="E280" s="5">
        <f>IFERROR(Easter[[#This Row],[Price (Per Unit ₹)]]*Easter[[#This Row],[Quantity ]],"")</f>
        <v>55</v>
      </c>
      <c r="F280" s="6">
        <v>46116</v>
      </c>
      <c r="G280" s="25" t="s">
        <v>20</v>
      </c>
      <c r="H280" s="4" t="s">
        <v>21</v>
      </c>
      <c r="I280" s="4" t="s">
        <v>45</v>
      </c>
      <c r="J280" s="4" t="s">
        <v>46</v>
      </c>
      <c r="K280" s="4"/>
    </row>
    <row r="281" spans="1:11" hidden="1">
      <c r="A281" s="4" t="s">
        <v>133</v>
      </c>
      <c r="B281" s="4" t="s">
        <v>25</v>
      </c>
      <c r="C281" s="4">
        <v>1</v>
      </c>
      <c r="D281" s="71">
        <f>IFERROR(VLOOKUP(Easter[[#This Row],[Product Name]],'Lookup sheet'!$A$1:$D$31,4,FALSE),"")</f>
        <v>55</v>
      </c>
      <c r="E281" s="5">
        <f>IFERROR(Easter[[#This Row],[Price (Per Unit ₹)]]*Easter[[#This Row],[Quantity ]],"")</f>
        <v>55</v>
      </c>
      <c r="F281" s="6">
        <v>46116</v>
      </c>
      <c r="G281" s="25" t="s">
        <v>20</v>
      </c>
      <c r="H281" s="4" t="s">
        <v>21</v>
      </c>
      <c r="I281" s="4" t="s">
        <v>45</v>
      </c>
      <c r="J281" s="4" t="s">
        <v>46</v>
      </c>
      <c r="K281" s="4"/>
    </row>
    <row r="282" spans="1:11" hidden="1">
      <c r="A282" s="23" t="s">
        <v>134</v>
      </c>
      <c r="B282" s="23" t="s">
        <v>35</v>
      </c>
      <c r="C282" s="23">
        <v>5</v>
      </c>
      <c r="D282" s="33">
        <f>IFERROR(VLOOKUP(Easter[[#This Row],[Product Name]],'Lookup sheet'!$A$1:$D$31,4,FALSE),"")</f>
        <v>150</v>
      </c>
      <c r="E282" s="24">
        <f>IFERROR(Easter[[#This Row],[Price (Per Unit ₹)]]*Easter[[#This Row],[Quantity ]],"")</f>
        <v>750</v>
      </c>
      <c r="F282" s="30">
        <v>46115</v>
      </c>
      <c r="G282" s="23" t="s">
        <v>20</v>
      </c>
      <c r="H282" s="23" t="s">
        <v>21</v>
      </c>
      <c r="I282" s="4" t="s">
        <v>45</v>
      </c>
      <c r="J282" s="4" t="s">
        <v>46</v>
      </c>
      <c r="K282" s="4"/>
    </row>
    <row r="283" spans="1:11" hidden="1">
      <c r="A283" s="4" t="s">
        <v>135</v>
      </c>
      <c r="B283" s="4" t="s">
        <v>39</v>
      </c>
      <c r="C283" s="4">
        <v>2</v>
      </c>
      <c r="D283" s="71">
        <f>IFERROR(VLOOKUP(Easter[[#This Row],[Product Name]],'Lookup sheet'!$A$1:$D$31,4,FALSE),"")</f>
        <v>25</v>
      </c>
      <c r="E283" s="5">
        <f>IFERROR(Easter[[#This Row],[Price (Per Unit ₹)]]*Easter[[#This Row],[Quantity ]],"")</f>
        <v>50</v>
      </c>
      <c r="F283" s="6">
        <v>46116</v>
      </c>
      <c r="G283" s="25" t="s">
        <v>20</v>
      </c>
      <c r="H283" s="4" t="s">
        <v>21</v>
      </c>
      <c r="I283" s="4" t="s">
        <v>45</v>
      </c>
      <c r="J283" s="4" t="s">
        <v>46</v>
      </c>
      <c r="K283" s="4"/>
    </row>
    <row r="284" spans="1:11" hidden="1">
      <c r="A284" s="4" t="s">
        <v>135</v>
      </c>
      <c r="B284" s="4" t="s">
        <v>27</v>
      </c>
      <c r="C284" s="4">
        <v>1</v>
      </c>
      <c r="D284" s="71">
        <f>IFERROR(VLOOKUP(Easter[[#This Row],[Product Name]],'Lookup sheet'!$A$1:$D$31,4,FALSE),"")</f>
        <v>65</v>
      </c>
      <c r="E284" s="5">
        <f>IFERROR(Easter[[#This Row],[Price (Per Unit ₹)]]*Easter[[#This Row],[Quantity ]],"")</f>
        <v>65</v>
      </c>
      <c r="F284" s="6">
        <v>46116</v>
      </c>
      <c r="G284" s="25" t="s">
        <v>20</v>
      </c>
      <c r="H284" s="4" t="s">
        <v>21</v>
      </c>
      <c r="I284" s="4" t="s">
        <v>45</v>
      </c>
      <c r="J284" s="4" t="s">
        <v>46</v>
      </c>
      <c r="K284" s="4"/>
    </row>
    <row r="285" spans="1:11" hidden="1">
      <c r="A285" s="4" t="s">
        <v>135</v>
      </c>
      <c r="B285" s="4" t="s">
        <v>57</v>
      </c>
      <c r="C285" s="4">
        <v>1</v>
      </c>
      <c r="D285" s="71">
        <f>IFERROR(VLOOKUP(Easter[[#This Row],[Product Name]],'Lookup sheet'!$A$1:$D$31,4,FALSE),"")</f>
        <v>40</v>
      </c>
      <c r="E285" s="5">
        <f>IFERROR(Easter[[#This Row],[Price (Per Unit ₹)]]*Easter[[#This Row],[Quantity ]],"")</f>
        <v>40</v>
      </c>
      <c r="F285" s="6">
        <v>46116</v>
      </c>
      <c r="G285" s="25" t="s">
        <v>20</v>
      </c>
      <c r="H285" s="4" t="s">
        <v>21</v>
      </c>
      <c r="I285" s="4" t="s">
        <v>45</v>
      </c>
      <c r="J285" s="4" t="s">
        <v>46</v>
      </c>
      <c r="K285" s="4"/>
    </row>
    <row r="286" spans="1:11" hidden="1">
      <c r="A286" s="4" t="s">
        <v>135</v>
      </c>
      <c r="B286" s="4" t="s">
        <v>24</v>
      </c>
      <c r="C286" s="4">
        <v>1</v>
      </c>
      <c r="D286" s="71">
        <f>IFERROR(VLOOKUP(Easter[[#This Row],[Product Name]],'Lookup sheet'!$A$1:$D$31,4,FALSE),"")</f>
        <v>40</v>
      </c>
      <c r="E286" s="5">
        <f>IFERROR(Easter[[#This Row],[Price (Per Unit ₹)]]*Easter[[#This Row],[Quantity ]],"")</f>
        <v>40</v>
      </c>
      <c r="F286" s="6">
        <v>46116</v>
      </c>
      <c r="G286" s="25" t="s">
        <v>20</v>
      </c>
      <c r="H286" s="4" t="s">
        <v>21</v>
      </c>
      <c r="I286" s="4" t="s">
        <v>45</v>
      </c>
      <c r="J286" s="4" t="s">
        <v>46</v>
      </c>
      <c r="K286" s="4"/>
    </row>
    <row r="287" spans="1:11" hidden="1">
      <c r="A287" s="4" t="s">
        <v>135</v>
      </c>
      <c r="B287" s="4" t="s">
        <v>40</v>
      </c>
      <c r="C287" s="4">
        <v>3</v>
      </c>
      <c r="D287" s="71">
        <f>IFERROR(VLOOKUP(Easter[[#This Row],[Product Name]],'Lookup sheet'!$A$1:$D$31,4,FALSE),"")</f>
        <v>25</v>
      </c>
      <c r="E287" s="5">
        <f>IFERROR(Easter[[#This Row],[Price (Per Unit ₹)]]*Easter[[#This Row],[Quantity ]],"")</f>
        <v>75</v>
      </c>
      <c r="F287" s="6">
        <v>46116</v>
      </c>
      <c r="G287" s="25" t="s">
        <v>20</v>
      </c>
      <c r="H287" s="4" t="s">
        <v>21</v>
      </c>
      <c r="I287" s="4" t="s">
        <v>45</v>
      </c>
      <c r="J287" s="4" t="s">
        <v>46</v>
      </c>
      <c r="K287" s="4"/>
    </row>
    <row r="288" spans="1:11" hidden="1">
      <c r="A288" s="4" t="s">
        <v>135</v>
      </c>
      <c r="B288" s="4" t="s">
        <v>31</v>
      </c>
      <c r="C288" s="4">
        <v>1</v>
      </c>
      <c r="D288" s="71">
        <f>IFERROR(VLOOKUP(Easter[[#This Row],[Product Name]],'Lookup sheet'!$A$1:$D$31,4,FALSE),"")</f>
        <v>55</v>
      </c>
      <c r="E288" s="5">
        <f>IFERROR(Easter[[#This Row],[Price (Per Unit ₹)]]*Easter[[#This Row],[Quantity ]],"")</f>
        <v>55</v>
      </c>
      <c r="F288" s="6">
        <v>46116</v>
      </c>
      <c r="G288" s="25" t="s">
        <v>20</v>
      </c>
      <c r="H288" s="4" t="s">
        <v>21</v>
      </c>
      <c r="I288" s="4" t="s">
        <v>45</v>
      </c>
      <c r="J288" s="4" t="s">
        <v>46</v>
      </c>
      <c r="K288" s="4"/>
    </row>
    <row r="289" spans="1:11" hidden="1">
      <c r="A289" s="4" t="s">
        <v>135</v>
      </c>
      <c r="B289" s="4" t="s">
        <v>92</v>
      </c>
      <c r="C289" s="4">
        <v>2</v>
      </c>
      <c r="D289" s="71">
        <f>IFERROR(VLOOKUP(Easter[[#This Row],[Product Name]],'Lookup sheet'!$A$1:$D$31,4,FALSE),"")</f>
        <v>50</v>
      </c>
      <c r="E289" s="5">
        <f>IFERROR(Easter[[#This Row],[Price (Per Unit ₹)]]*Easter[[#This Row],[Quantity ]],"")</f>
        <v>100</v>
      </c>
      <c r="F289" s="6">
        <v>46116</v>
      </c>
      <c r="G289" s="25" t="s">
        <v>20</v>
      </c>
      <c r="H289" s="4" t="s">
        <v>21</v>
      </c>
      <c r="I289" s="4" t="s">
        <v>45</v>
      </c>
      <c r="J289" s="4" t="s">
        <v>46</v>
      </c>
      <c r="K289" s="4"/>
    </row>
    <row r="290" spans="1:11" hidden="1">
      <c r="A290" s="4" t="s">
        <v>135</v>
      </c>
      <c r="B290" s="4" t="s">
        <v>62</v>
      </c>
      <c r="C290" s="4">
        <v>1</v>
      </c>
      <c r="D290" s="71">
        <f>IFERROR(VLOOKUP(Easter[[#This Row],[Product Name]],'Lookup sheet'!$A$1:$D$31,4,FALSE),"")</f>
        <v>25</v>
      </c>
      <c r="E290" s="5">
        <f>IFERROR(Easter[[#This Row],[Price (Per Unit ₹)]]*Easter[[#This Row],[Quantity ]],"")</f>
        <v>25</v>
      </c>
      <c r="F290" s="6">
        <v>46116</v>
      </c>
      <c r="G290" s="25" t="s">
        <v>20</v>
      </c>
      <c r="H290" s="4" t="s">
        <v>21</v>
      </c>
      <c r="I290" s="4" t="s">
        <v>45</v>
      </c>
      <c r="J290" s="4" t="s">
        <v>46</v>
      </c>
      <c r="K290" s="4"/>
    </row>
    <row r="291" spans="1:11" hidden="1">
      <c r="A291" s="4" t="s">
        <v>136</v>
      </c>
      <c r="B291" s="4" t="s">
        <v>40</v>
      </c>
      <c r="C291" s="4">
        <v>6</v>
      </c>
      <c r="D291" s="33">
        <f>IFERROR(VLOOKUP(Easter[[#This Row],[Product Name]],'Lookup sheet'!$A$1:$D$31,4,FALSE),"")</f>
        <v>25</v>
      </c>
      <c r="E291" s="5">
        <f>IFERROR(Easter[[#This Row],[Price (Per Unit ₹)]]*Easter[[#This Row],[Quantity ]],"")</f>
        <v>150</v>
      </c>
      <c r="F291" s="6">
        <v>46117</v>
      </c>
      <c r="G291" s="23" t="s">
        <v>20</v>
      </c>
      <c r="H291" s="4" t="s">
        <v>21</v>
      </c>
      <c r="I291" s="4" t="s">
        <v>45</v>
      </c>
      <c r="J291" s="4" t="s">
        <v>46</v>
      </c>
      <c r="K291" s="4"/>
    </row>
    <row r="292" spans="1:11" hidden="1">
      <c r="A292" s="4" t="s">
        <v>136</v>
      </c>
      <c r="B292" s="4" t="s">
        <v>43</v>
      </c>
      <c r="C292" s="4">
        <v>6</v>
      </c>
      <c r="D292" s="33">
        <f>IFERROR(VLOOKUP(Easter[[#This Row],[Product Name]],'Lookup sheet'!$A$1:$D$31,4,FALSE),"")</f>
        <v>25</v>
      </c>
      <c r="E292" s="5">
        <f>IFERROR(Easter[[#This Row],[Price (Per Unit ₹)]]*Easter[[#This Row],[Quantity ]],"")</f>
        <v>150</v>
      </c>
      <c r="F292" s="6">
        <v>46117</v>
      </c>
      <c r="G292" s="25" t="s">
        <v>20</v>
      </c>
      <c r="H292" s="4" t="s">
        <v>21</v>
      </c>
      <c r="I292" s="4" t="s">
        <v>45</v>
      </c>
      <c r="J292" s="4" t="s">
        <v>46</v>
      </c>
      <c r="K292" s="4"/>
    </row>
    <row r="293" spans="1:11" hidden="1">
      <c r="A293" s="4" t="s">
        <v>136</v>
      </c>
      <c r="B293" s="4" t="s">
        <v>51</v>
      </c>
      <c r="C293" s="4">
        <v>6</v>
      </c>
      <c r="D293" s="33">
        <f>IFERROR(VLOOKUP(Easter[[#This Row],[Product Name]],'Lookup sheet'!$A$1:$D$31,4,FALSE),"")</f>
        <v>20</v>
      </c>
      <c r="E293" s="5">
        <f>IFERROR(Easter[[#This Row],[Price (Per Unit ₹)]]*Easter[[#This Row],[Quantity ]],"")</f>
        <v>120</v>
      </c>
      <c r="F293" s="6">
        <v>46117</v>
      </c>
      <c r="G293" s="23" t="s">
        <v>20</v>
      </c>
      <c r="H293" s="4" t="s">
        <v>21</v>
      </c>
      <c r="I293" s="4" t="s">
        <v>45</v>
      </c>
      <c r="J293" s="4" t="s">
        <v>46</v>
      </c>
      <c r="K293" s="4"/>
    </row>
    <row r="294" spans="1:11" hidden="1">
      <c r="A294" s="4" t="s">
        <v>136</v>
      </c>
      <c r="B294" s="4" t="s">
        <v>39</v>
      </c>
      <c r="C294" s="4">
        <v>6</v>
      </c>
      <c r="D294" s="33">
        <f>IFERROR(VLOOKUP(Easter[[#This Row],[Product Name]],'Lookup sheet'!$A$1:$D$31,4,FALSE),"")</f>
        <v>25</v>
      </c>
      <c r="E294" s="5">
        <f>IFERROR(Easter[[#This Row],[Price (Per Unit ₹)]]*Easter[[#This Row],[Quantity ]],"")</f>
        <v>150</v>
      </c>
      <c r="F294" s="6">
        <v>46117</v>
      </c>
      <c r="G294" s="23" t="s">
        <v>20</v>
      </c>
      <c r="H294" s="4" t="s">
        <v>21</v>
      </c>
      <c r="I294" s="4" t="s">
        <v>45</v>
      </c>
      <c r="J294" s="4" t="s">
        <v>46</v>
      </c>
      <c r="K294" s="4"/>
    </row>
    <row r="295" spans="1:11" hidden="1">
      <c r="A295" s="4" t="s">
        <v>136</v>
      </c>
      <c r="B295" s="4" t="s">
        <v>62</v>
      </c>
      <c r="C295" s="4">
        <v>6</v>
      </c>
      <c r="D295" s="33">
        <f>IFERROR(VLOOKUP(Easter[[#This Row],[Product Name]],'Lookup sheet'!$A$1:$D$31,4,FALSE),"")</f>
        <v>25</v>
      </c>
      <c r="E295" s="5">
        <f>IFERROR(Easter[[#This Row],[Price (Per Unit ₹)]]*Easter[[#This Row],[Quantity ]],"")</f>
        <v>150</v>
      </c>
      <c r="F295" s="6">
        <v>46117</v>
      </c>
      <c r="G295" s="23" t="s">
        <v>20</v>
      </c>
      <c r="H295" s="4" t="s">
        <v>21</v>
      </c>
      <c r="I295" s="4" t="s">
        <v>45</v>
      </c>
      <c r="J295" s="4" t="s">
        <v>46</v>
      </c>
      <c r="K295" s="4"/>
    </row>
    <row r="296" spans="1:11" hidden="1">
      <c r="A296" s="4" t="s">
        <v>137</v>
      </c>
      <c r="B296" s="4" t="s">
        <v>35</v>
      </c>
      <c r="C296" s="4">
        <v>1</v>
      </c>
      <c r="D296" s="33">
        <f>IFERROR(VLOOKUP(Easter[[#This Row],[Product Name]],'Lookup sheet'!$A$1:$D$31,4,FALSE),"")</f>
        <v>150</v>
      </c>
      <c r="E296" s="5">
        <f>IFERROR(Easter[[#This Row],[Price (Per Unit ₹)]]*Easter[[#This Row],[Quantity ]],"")</f>
        <v>150</v>
      </c>
      <c r="F296" s="6">
        <v>46117</v>
      </c>
      <c r="G296" s="25" t="s">
        <v>20</v>
      </c>
      <c r="H296" s="4" t="s">
        <v>21</v>
      </c>
      <c r="I296" s="4" t="s">
        <v>45</v>
      </c>
      <c r="J296" s="4" t="s">
        <v>46</v>
      </c>
      <c r="K296" s="4"/>
    </row>
    <row r="297" spans="1:11" hidden="1">
      <c r="A297" s="4" t="s">
        <v>138</v>
      </c>
      <c r="B297" s="4" t="s">
        <v>42</v>
      </c>
      <c r="C297" s="4">
        <v>2</v>
      </c>
      <c r="D297" s="33">
        <f>IFERROR(VLOOKUP(Easter[[#This Row],[Product Name]],'Lookup sheet'!$A$1:$D$31,4,FALSE),"")</f>
        <v>30</v>
      </c>
      <c r="E297" s="5">
        <f>IFERROR(Easter[[#This Row],[Price (Per Unit ₹)]]*Easter[[#This Row],[Quantity ]],"")</f>
        <v>60</v>
      </c>
      <c r="F297" s="6">
        <v>46117</v>
      </c>
      <c r="G297" s="25" t="s">
        <v>20</v>
      </c>
      <c r="H297" s="4" t="s">
        <v>21</v>
      </c>
      <c r="I297" s="4" t="s">
        <v>45</v>
      </c>
      <c r="J297" s="4" t="s">
        <v>46</v>
      </c>
      <c r="K297" s="4"/>
    </row>
    <row r="298" spans="1:11" hidden="1">
      <c r="A298" s="4" t="s">
        <v>138</v>
      </c>
      <c r="B298" s="4" t="s">
        <v>43</v>
      </c>
      <c r="C298" s="4">
        <v>3</v>
      </c>
      <c r="D298" s="33">
        <f>IFERROR(VLOOKUP(Easter[[#This Row],[Product Name]],'Lookup sheet'!$A$1:$D$31,4,FALSE),"")</f>
        <v>25</v>
      </c>
      <c r="E298" s="5">
        <f>IFERROR(Easter[[#This Row],[Price (Per Unit ₹)]]*Easter[[#This Row],[Quantity ]],"")</f>
        <v>75</v>
      </c>
      <c r="F298" s="6">
        <v>46117</v>
      </c>
      <c r="G298" s="23" t="s">
        <v>20</v>
      </c>
      <c r="H298" s="4" t="s">
        <v>21</v>
      </c>
      <c r="I298" s="4" t="s">
        <v>45</v>
      </c>
      <c r="J298" s="4" t="s">
        <v>46</v>
      </c>
      <c r="K298" s="4"/>
    </row>
    <row r="299" spans="1:11" hidden="1">
      <c r="A299" s="4" t="s">
        <v>138</v>
      </c>
      <c r="B299" s="4" t="s">
        <v>39</v>
      </c>
      <c r="C299" s="4">
        <v>2</v>
      </c>
      <c r="D299" s="33">
        <f>IFERROR(VLOOKUP(Easter[[#This Row],[Product Name]],'Lookup sheet'!$A$1:$D$31,4,FALSE),"")</f>
        <v>25</v>
      </c>
      <c r="E299" s="5">
        <f>IFERROR(Easter[[#This Row],[Price (Per Unit ₹)]]*Easter[[#This Row],[Quantity ]],"")</f>
        <v>50</v>
      </c>
      <c r="F299" s="6">
        <v>46117</v>
      </c>
      <c r="G299" s="23" t="s">
        <v>20</v>
      </c>
      <c r="H299" s="4" t="s">
        <v>21</v>
      </c>
      <c r="I299" s="4" t="s">
        <v>45</v>
      </c>
      <c r="J299" s="4" t="s">
        <v>46</v>
      </c>
      <c r="K299" s="4"/>
    </row>
    <row r="300" spans="1:11" hidden="1">
      <c r="A300" s="4" t="s">
        <v>138</v>
      </c>
      <c r="B300" s="4" t="s">
        <v>40</v>
      </c>
      <c r="C300" s="4">
        <v>4</v>
      </c>
      <c r="D300" s="33">
        <f>IFERROR(VLOOKUP(Easter[[#This Row],[Product Name]],'Lookup sheet'!$A$1:$D$31,4,FALSE),"")</f>
        <v>25</v>
      </c>
      <c r="E300" s="5">
        <f>IFERROR(Easter[[#This Row],[Price (Per Unit ₹)]]*Easter[[#This Row],[Quantity ]],"")</f>
        <v>100</v>
      </c>
      <c r="F300" s="6">
        <v>46117</v>
      </c>
      <c r="G300" s="23" t="s">
        <v>20</v>
      </c>
      <c r="H300" s="4" t="s">
        <v>21</v>
      </c>
      <c r="I300" s="4" t="s">
        <v>45</v>
      </c>
      <c r="J300" s="4" t="s">
        <v>46</v>
      </c>
      <c r="K300" s="4"/>
    </row>
    <row r="301" spans="1:11" hidden="1">
      <c r="A301" s="4" t="s">
        <v>138</v>
      </c>
      <c r="B301" s="4" t="s">
        <v>51</v>
      </c>
      <c r="C301" s="4">
        <v>2</v>
      </c>
      <c r="D301" s="33">
        <f>IFERROR(VLOOKUP(Easter[[#This Row],[Product Name]],'Lookup sheet'!$A$1:$D$31,4,FALSE),"")</f>
        <v>20</v>
      </c>
      <c r="E301" s="5">
        <f>IFERROR(Easter[[#This Row],[Price (Per Unit ₹)]]*Easter[[#This Row],[Quantity ]],"")</f>
        <v>40</v>
      </c>
      <c r="F301" s="6">
        <v>46117</v>
      </c>
      <c r="G301" s="23" t="s">
        <v>20</v>
      </c>
      <c r="H301" s="4" t="s">
        <v>21</v>
      </c>
      <c r="I301" s="4" t="s">
        <v>45</v>
      </c>
      <c r="J301" s="4" t="s">
        <v>46</v>
      </c>
      <c r="K301" s="4"/>
    </row>
    <row r="302" spans="1:11" hidden="1">
      <c r="A302" s="4" t="s">
        <v>138</v>
      </c>
      <c r="B302" s="4" t="s">
        <v>62</v>
      </c>
      <c r="C302" s="4">
        <v>7</v>
      </c>
      <c r="D302" s="33">
        <f>IFERROR(VLOOKUP(Easter[[#This Row],[Product Name]],'Lookup sheet'!$A$1:$D$31,4,FALSE),"")</f>
        <v>25</v>
      </c>
      <c r="E302" s="5">
        <f>IFERROR(Easter[[#This Row],[Price (Per Unit ₹)]]*Easter[[#This Row],[Quantity ]],"")</f>
        <v>175</v>
      </c>
      <c r="F302" s="6">
        <v>46117</v>
      </c>
      <c r="G302" s="23" t="s">
        <v>20</v>
      </c>
      <c r="H302" s="4" t="s">
        <v>21</v>
      </c>
      <c r="I302" s="4" t="s">
        <v>45</v>
      </c>
      <c r="J302" s="4" t="s">
        <v>46</v>
      </c>
      <c r="K302" s="4"/>
    </row>
    <row r="303" spans="1:11" hidden="1">
      <c r="A303" s="4" t="s">
        <v>139</v>
      </c>
      <c r="B303" s="4" t="s">
        <v>39</v>
      </c>
      <c r="C303" s="4">
        <v>5</v>
      </c>
      <c r="D303" s="33">
        <f>IFERROR(VLOOKUP(Easter[[#This Row],[Product Name]],'Lookup sheet'!$A$1:$D$31,4,FALSE),"")</f>
        <v>25</v>
      </c>
      <c r="E303" s="5">
        <f>IFERROR(Easter[[#This Row],[Price (Per Unit ₹)]]*Easter[[#This Row],[Quantity ]],"")</f>
        <v>125</v>
      </c>
      <c r="F303" s="6">
        <v>46116</v>
      </c>
      <c r="G303" s="25" t="s">
        <v>20</v>
      </c>
      <c r="H303" s="4" t="s">
        <v>21</v>
      </c>
      <c r="I303" s="4" t="s">
        <v>45</v>
      </c>
      <c r="J303" s="4" t="s">
        <v>46</v>
      </c>
      <c r="K303" s="4"/>
    </row>
    <row r="304" spans="1:11" hidden="1">
      <c r="A304" s="4" t="s">
        <v>139</v>
      </c>
      <c r="B304" s="4" t="s">
        <v>30</v>
      </c>
      <c r="C304" s="4">
        <v>1</v>
      </c>
      <c r="D304" s="33">
        <f>IFERROR(VLOOKUP(Easter[[#This Row],[Product Name]],'Lookup sheet'!$A$1:$D$31,4,FALSE),"")</f>
        <v>60</v>
      </c>
      <c r="E304" s="5">
        <f>IFERROR(Easter[[#This Row],[Price (Per Unit ₹)]]*Easter[[#This Row],[Quantity ]],"")</f>
        <v>60</v>
      </c>
      <c r="F304" s="6">
        <v>46116</v>
      </c>
      <c r="G304" s="25" t="s">
        <v>20</v>
      </c>
      <c r="H304" s="4" t="s">
        <v>21</v>
      </c>
      <c r="I304" s="4" t="s">
        <v>45</v>
      </c>
      <c r="J304" s="4" t="s">
        <v>46</v>
      </c>
      <c r="K304" s="4"/>
    </row>
    <row r="305" spans="1:11" hidden="1">
      <c r="A305" s="4" t="s">
        <v>139</v>
      </c>
      <c r="B305" s="4" t="s">
        <v>33</v>
      </c>
      <c r="C305" s="4">
        <v>5</v>
      </c>
      <c r="D305" s="33">
        <f>IFERROR(VLOOKUP(Easter[[#This Row],[Product Name]],'Lookup sheet'!$A$1:$D$31,4,FALSE),"")</f>
        <v>25</v>
      </c>
      <c r="E305" s="5">
        <f>IFERROR(Easter[[#This Row],[Price (Per Unit ₹)]]*Easter[[#This Row],[Quantity ]],"")</f>
        <v>125</v>
      </c>
      <c r="F305" s="6">
        <v>46116</v>
      </c>
      <c r="G305" s="25" t="s">
        <v>20</v>
      </c>
      <c r="H305" s="4" t="s">
        <v>21</v>
      </c>
      <c r="I305" s="4" t="s">
        <v>45</v>
      </c>
      <c r="J305" s="4" t="s">
        <v>46</v>
      </c>
      <c r="K305" s="4"/>
    </row>
    <row r="306" spans="1:11" hidden="1">
      <c r="A306" s="4" t="s">
        <v>139</v>
      </c>
      <c r="B306" s="4" t="s">
        <v>28</v>
      </c>
      <c r="C306" s="4">
        <v>1</v>
      </c>
      <c r="D306" s="33">
        <f>IFERROR(VLOOKUP(Easter[[#This Row],[Product Name]],'Lookup sheet'!$A$1:$D$31,4,FALSE),"")</f>
        <v>60</v>
      </c>
      <c r="E306" s="5">
        <f>IFERROR(Easter[[#This Row],[Price (Per Unit ₹)]]*Easter[[#This Row],[Quantity ]],"")</f>
        <v>60</v>
      </c>
      <c r="F306" s="6">
        <v>46116</v>
      </c>
      <c r="G306" s="25" t="s">
        <v>20</v>
      </c>
      <c r="H306" s="4" t="s">
        <v>21</v>
      </c>
      <c r="I306" s="4" t="s">
        <v>45</v>
      </c>
      <c r="J306" s="4" t="s">
        <v>46</v>
      </c>
      <c r="K306" s="4"/>
    </row>
    <row r="307" spans="1:11" hidden="1">
      <c r="A307" s="4" t="s">
        <v>139</v>
      </c>
      <c r="B307" s="4" t="s">
        <v>40</v>
      </c>
      <c r="C307" s="4">
        <v>10</v>
      </c>
      <c r="D307" s="33">
        <f>IFERROR(VLOOKUP(Easter[[#This Row],[Product Name]],'Lookup sheet'!$A$1:$D$31,4,FALSE),"")</f>
        <v>25</v>
      </c>
      <c r="E307" s="5">
        <f>IFERROR(Easter[[#This Row],[Price (Per Unit ₹)]]*Easter[[#This Row],[Quantity ]],"")</f>
        <v>250</v>
      </c>
      <c r="F307" s="6">
        <v>46116</v>
      </c>
      <c r="G307" s="25" t="s">
        <v>20</v>
      </c>
      <c r="H307" s="4" t="s">
        <v>21</v>
      </c>
      <c r="I307" s="4" t="s">
        <v>45</v>
      </c>
      <c r="J307" s="4" t="s">
        <v>46</v>
      </c>
      <c r="K307" s="4"/>
    </row>
    <row r="308" spans="1:11" hidden="1">
      <c r="A308" s="4" t="s">
        <v>140</v>
      </c>
      <c r="B308" s="4" t="s">
        <v>42</v>
      </c>
      <c r="C308" s="4">
        <v>2</v>
      </c>
      <c r="D308" s="33">
        <f>IFERROR(VLOOKUP(Easter[[#This Row],[Product Name]],'Lookup sheet'!$A$1:$D$31,4,FALSE),"")</f>
        <v>30</v>
      </c>
      <c r="E308" s="5">
        <f>IFERROR(Easter[[#This Row],[Price (Per Unit ₹)]]*Easter[[#This Row],[Quantity ]],"")</f>
        <v>60</v>
      </c>
      <c r="F308" s="6">
        <v>46114</v>
      </c>
      <c r="G308" s="25" t="s">
        <v>20</v>
      </c>
      <c r="H308" s="4" t="s">
        <v>21</v>
      </c>
      <c r="I308" s="4" t="s">
        <v>45</v>
      </c>
      <c r="J308" s="4" t="s">
        <v>46</v>
      </c>
      <c r="K308" s="4"/>
    </row>
    <row r="309" spans="1:11" hidden="1">
      <c r="A309" s="4" t="s">
        <v>140</v>
      </c>
      <c r="B309" s="4" t="s">
        <v>57</v>
      </c>
      <c r="C309" s="4">
        <v>5</v>
      </c>
      <c r="D309" s="33">
        <f>IFERROR(VLOOKUP(Easter[[#This Row],[Product Name]],'Lookup sheet'!$A$1:$D$31,4,FALSE),"")</f>
        <v>40</v>
      </c>
      <c r="E309" s="5">
        <f>IFERROR(Easter[[#This Row],[Price (Per Unit ₹)]]*Easter[[#This Row],[Quantity ]],"")</f>
        <v>200</v>
      </c>
      <c r="F309" s="6">
        <v>46114</v>
      </c>
      <c r="G309" s="25" t="s">
        <v>20</v>
      </c>
      <c r="H309" s="4" t="s">
        <v>21</v>
      </c>
      <c r="I309" s="4" t="s">
        <v>45</v>
      </c>
      <c r="J309" s="4" t="s">
        <v>46</v>
      </c>
      <c r="K309" s="4"/>
    </row>
    <row r="310" spans="1:11" hidden="1">
      <c r="A310" s="4" t="s">
        <v>140</v>
      </c>
      <c r="B310" s="4" t="s">
        <v>35</v>
      </c>
      <c r="C310" s="4">
        <v>2</v>
      </c>
      <c r="D310" s="33">
        <f>IFERROR(VLOOKUP(Easter[[#This Row],[Product Name]],'Lookup sheet'!$A$1:$D$31,4,FALSE),"")</f>
        <v>150</v>
      </c>
      <c r="E310" s="5">
        <f>IFERROR(Easter[[#This Row],[Price (Per Unit ₹)]]*Easter[[#This Row],[Quantity ]],"")</f>
        <v>300</v>
      </c>
      <c r="F310" s="6">
        <v>46114</v>
      </c>
      <c r="G310" s="25" t="s">
        <v>20</v>
      </c>
      <c r="H310" s="4" t="s">
        <v>21</v>
      </c>
      <c r="I310" s="4" t="s">
        <v>45</v>
      </c>
      <c r="J310" s="4" t="s">
        <v>46</v>
      </c>
      <c r="K310" s="4"/>
    </row>
    <row r="311" spans="1:11" hidden="1">
      <c r="A311" s="4" t="s">
        <v>140</v>
      </c>
      <c r="B311" s="4" t="s">
        <v>37</v>
      </c>
      <c r="C311" s="4">
        <v>1</v>
      </c>
      <c r="D311" s="33">
        <f>IFERROR(VLOOKUP(Easter[[#This Row],[Product Name]],'Lookup sheet'!$A$1:$D$31,4,FALSE),"")</f>
        <v>100</v>
      </c>
      <c r="E311" s="5">
        <f>IFERROR(Easter[[#This Row],[Price (Per Unit ₹)]]*Easter[[#This Row],[Quantity ]],"")</f>
        <v>100</v>
      </c>
      <c r="F311" s="6">
        <v>46114</v>
      </c>
      <c r="G311" s="25" t="s">
        <v>20</v>
      </c>
      <c r="H311" s="4" t="s">
        <v>21</v>
      </c>
      <c r="I311" s="4" t="s">
        <v>45</v>
      </c>
      <c r="J311" s="4" t="s">
        <v>46</v>
      </c>
      <c r="K311" s="4"/>
    </row>
    <row r="312" spans="1:11" hidden="1">
      <c r="A312" s="4" t="s">
        <v>140</v>
      </c>
      <c r="B312" s="4" t="s">
        <v>47</v>
      </c>
      <c r="C312" s="4">
        <v>5</v>
      </c>
      <c r="D312" s="33">
        <f>IFERROR(VLOOKUP(Easter[[#This Row],[Product Name]],'Lookup sheet'!$A$1:$D$31,4,FALSE),"")</f>
        <v>20</v>
      </c>
      <c r="E312" s="5">
        <f>IFERROR(Easter[[#This Row],[Price (Per Unit ₹)]]*Easter[[#This Row],[Quantity ]],"")</f>
        <v>100</v>
      </c>
      <c r="F312" s="6">
        <v>46114</v>
      </c>
      <c r="G312" s="25" t="s">
        <v>20</v>
      </c>
      <c r="H312" s="4" t="s">
        <v>21</v>
      </c>
      <c r="I312" s="4" t="s">
        <v>45</v>
      </c>
      <c r="J312" s="4" t="s">
        <v>46</v>
      </c>
      <c r="K312" s="4"/>
    </row>
    <row r="313" spans="1:11" hidden="1">
      <c r="A313" s="4" t="s">
        <v>140</v>
      </c>
      <c r="B313" s="4" t="s">
        <v>62</v>
      </c>
      <c r="C313" s="4">
        <v>3</v>
      </c>
      <c r="D313" s="33">
        <f>IFERROR(VLOOKUP(Easter[[#This Row],[Product Name]],'Lookup sheet'!$A$1:$D$31,4,FALSE),"")</f>
        <v>25</v>
      </c>
      <c r="E313" s="5">
        <f>IFERROR(Easter[[#This Row],[Price (Per Unit ₹)]]*Easter[[#This Row],[Quantity ]],"")</f>
        <v>75</v>
      </c>
      <c r="F313" s="6">
        <v>46114</v>
      </c>
      <c r="G313" s="25" t="s">
        <v>20</v>
      </c>
      <c r="H313" s="4" t="s">
        <v>21</v>
      </c>
      <c r="I313" s="4" t="s">
        <v>45</v>
      </c>
      <c r="J313" s="4" t="s">
        <v>46</v>
      </c>
      <c r="K313" s="4"/>
    </row>
    <row r="314" spans="1:11" hidden="1">
      <c r="A314" s="4" t="s">
        <v>141</v>
      </c>
      <c r="B314" s="4" t="s">
        <v>30</v>
      </c>
      <c r="C314" s="4">
        <v>1</v>
      </c>
      <c r="D314" s="33">
        <f>IFERROR(VLOOKUP(Easter[[#This Row],[Product Name]],'Lookup sheet'!$A$1:$D$31,4,FALSE),"")</f>
        <v>60</v>
      </c>
      <c r="E314" s="5">
        <f>IFERROR(Easter[[#This Row],[Price (Per Unit ₹)]]*Easter[[#This Row],[Quantity ]],"")</f>
        <v>60</v>
      </c>
      <c r="F314" s="6">
        <v>46116</v>
      </c>
      <c r="G314" s="25" t="s">
        <v>20</v>
      </c>
      <c r="H314" s="4" t="s">
        <v>21</v>
      </c>
      <c r="I314" s="4" t="s">
        <v>22</v>
      </c>
      <c r="J314" s="4" t="s">
        <v>23</v>
      </c>
      <c r="K314" s="4"/>
    </row>
    <row r="315" spans="1:11" hidden="1">
      <c r="A315" s="4" t="s">
        <v>141</v>
      </c>
      <c r="B315" s="4" t="s">
        <v>27</v>
      </c>
      <c r="C315" s="4">
        <v>1</v>
      </c>
      <c r="D315" s="33">
        <f>IFERROR(VLOOKUP(Easter[[#This Row],[Product Name]],'Lookup sheet'!$A$1:$D$31,4,FALSE),"")</f>
        <v>65</v>
      </c>
      <c r="E315" s="5">
        <f>IFERROR(Easter[[#This Row],[Price (Per Unit ₹)]]*Easter[[#This Row],[Quantity ]],"")</f>
        <v>65</v>
      </c>
      <c r="F315" s="6">
        <v>46116</v>
      </c>
      <c r="G315" s="25" t="s">
        <v>20</v>
      </c>
      <c r="H315" s="4" t="s">
        <v>21</v>
      </c>
      <c r="I315" s="4" t="s">
        <v>22</v>
      </c>
      <c r="J315" s="4" t="s">
        <v>23</v>
      </c>
      <c r="K315" s="4"/>
    </row>
    <row r="316" spans="1:11" hidden="1">
      <c r="A316" s="4" t="s">
        <v>141</v>
      </c>
      <c r="B316" s="4" t="s">
        <v>40</v>
      </c>
      <c r="C316" s="4">
        <v>2</v>
      </c>
      <c r="D316" s="33">
        <f>IFERROR(VLOOKUP(Easter[[#This Row],[Product Name]],'Lookup sheet'!$A$1:$D$31,4,FALSE),"")</f>
        <v>25</v>
      </c>
      <c r="E316" s="5">
        <f>IFERROR(Easter[[#This Row],[Price (Per Unit ₹)]]*Easter[[#This Row],[Quantity ]],"")</f>
        <v>50</v>
      </c>
      <c r="F316" s="6">
        <v>46116</v>
      </c>
      <c r="G316" s="25" t="s">
        <v>20</v>
      </c>
      <c r="H316" s="4" t="s">
        <v>21</v>
      </c>
      <c r="I316" s="4" t="s">
        <v>22</v>
      </c>
      <c r="J316" s="4" t="s">
        <v>23</v>
      </c>
      <c r="K316" s="4"/>
    </row>
    <row r="317" spans="1:11" hidden="1">
      <c r="A317" s="4" t="s">
        <v>141</v>
      </c>
      <c r="B317" s="4" t="s">
        <v>35</v>
      </c>
      <c r="C317" s="4">
        <v>2</v>
      </c>
      <c r="D317" s="33">
        <f>IFERROR(VLOOKUP(Easter[[#This Row],[Product Name]],'Lookup sheet'!$A$1:$D$31,4,FALSE),"")</f>
        <v>150</v>
      </c>
      <c r="E317" s="5">
        <f>IFERROR(Easter[[#This Row],[Price (Per Unit ₹)]]*Easter[[#This Row],[Quantity ]],"")</f>
        <v>300</v>
      </c>
      <c r="F317" s="6">
        <v>46116</v>
      </c>
      <c r="G317" s="23" t="s">
        <v>20</v>
      </c>
      <c r="H317" s="4" t="s">
        <v>21</v>
      </c>
      <c r="I317" s="4" t="s">
        <v>22</v>
      </c>
      <c r="J317" s="4" t="s">
        <v>23</v>
      </c>
      <c r="K317" s="4"/>
    </row>
    <row r="318" spans="1:11" hidden="1">
      <c r="A318" s="4" t="s">
        <v>141</v>
      </c>
      <c r="B318" s="4" t="s">
        <v>62</v>
      </c>
      <c r="C318" s="4">
        <v>2</v>
      </c>
      <c r="D318" s="33">
        <f>IFERROR(VLOOKUP(Easter[[#This Row],[Product Name]],'Lookup sheet'!$A$1:$D$31,4,FALSE),"")</f>
        <v>25</v>
      </c>
      <c r="E318" s="5">
        <f>IFERROR(Easter[[#This Row],[Price (Per Unit ₹)]]*Easter[[#This Row],[Quantity ]],"")</f>
        <v>50</v>
      </c>
      <c r="F318" s="6">
        <v>46116</v>
      </c>
      <c r="G318" s="25" t="s">
        <v>20</v>
      </c>
      <c r="H318" s="4" t="s">
        <v>21</v>
      </c>
      <c r="I318" s="4" t="s">
        <v>22</v>
      </c>
      <c r="J318" s="4" t="s">
        <v>23</v>
      </c>
      <c r="K318" s="4"/>
    </row>
    <row r="319" spans="1:11" hidden="1">
      <c r="A319" s="4" t="s">
        <v>142</v>
      </c>
      <c r="B319" s="4" t="s">
        <v>42</v>
      </c>
      <c r="C319" s="4">
        <v>4</v>
      </c>
      <c r="D319" s="71">
        <f>IFERROR(VLOOKUP(Easter[[#This Row],[Product Name]],'Lookup sheet'!$A$1:$D$31,4,FALSE),"")</f>
        <v>30</v>
      </c>
      <c r="E319" s="5">
        <f>IFERROR(Easter[[#This Row],[Price (Per Unit ₹)]]*Easter[[#This Row],[Quantity ]],"")</f>
        <v>120</v>
      </c>
      <c r="F319" s="6">
        <v>46116</v>
      </c>
      <c r="G319" s="25" t="s">
        <v>20</v>
      </c>
      <c r="H319" s="4" t="s">
        <v>21</v>
      </c>
      <c r="I319" s="4" t="s">
        <v>22</v>
      </c>
      <c r="J319" s="4" t="s">
        <v>23</v>
      </c>
      <c r="K319" s="4"/>
    </row>
    <row r="320" spans="1:11" hidden="1">
      <c r="A320" s="4" t="s">
        <v>142</v>
      </c>
      <c r="B320" s="4" t="s">
        <v>24</v>
      </c>
      <c r="C320" s="4">
        <v>1</v>
      </c>
      <c r="D320" s="71">
        <f>IFERROR(VLOOKUP(Easter[[#This Row],[Product Name]],'Lookup sheet'!$A$1:$D$31,4,FALSE),"")</f>
        <v>40</v>
      </c>
      <c r="E320" s="5">
        <f>IFERROR(Easter[[#This Row],[Price (Per Unit ₹)]]*Easter[[#This Row],[Quantity ]],"")</f>
        <v>40</v>
      </c>
      <c r="F320" s="6">
        <v>46116</v>
      </c>
      <c r="G320" s="25" t="s">
        <v>20</v>
      </c>
      <c r="H320" s="23" t="s">
        <v>21</v>
      </c>
      <c r="I320" s="4" t="s">
        <v>22</v>
      </c>
      <c r="J320" s="4" t="s">
        <v>23</v>
      </c>
      <c r="K320" s="4"/>
    </row>
    <row r="321" spans="1:11" hidden="1">
      <c r="A321" s="4" t="s">
        <v>143</v>
      </c>
      <c r="B321" s="4" t="s">
        <v>27</v>
      </c>
      <c r="C321" s="4">
        <v>2</v>
      </c>
      <c r="D321" s="71">
        <f>IFERROR(VLOOKUP(Easter[[#This Row],[Product Name]],'Lookup sheet'!$A$1:$D$31,4,FALSE),"")</f>
        <v>65</v>
      </c>
      <c r="E321" s="5">
        <f>IFERROR(Easter[[#This Row],[Price (Per Unit ₹)]]*Easter[[#This Row],[Quantity ]],"")</f>
        <v>130</v>
      </c>
      <c r="F321" s="6">
        <v>46116</v>
      </c>
      <c r="G321" s="25" t="s">
        <v>20</v>
      </c>
      <c r="H321" s="4" t="s">
        <v>21</v>
      </c>
      <c r="I321" s="4" t="s">
        <v>22</v>
      </c>
      <c r="J321" s="4" t="s">
        <v>23</v>
      </c>
      <c r="K321" s="4"/>
    </row>
    <row r="322" spans="1:11" hidden="1">
      <c r="A322" s="4" t="s">
        <v>143</v>
      </c>
      <c r="B322" s="4" t="s">
        <v>28</v>
      </c>
      <c r="C322" s="4">
        <v>2</v>
      </c>
      <c r="D322" s="71">
        <f>IFERROR(VLOOKUP(Easter[[#This Row],[Product Name]],'Lookup sheet'!$A$1:$D$31,4,FALSE),"")</f>
        <v>60</v>
      </c>
      <c r="E322" s="5">
        <f>IFERROR(Easter[[#This Row],[Price (Per Unit ₹)]]*Easter[[#This Row],[Quantity ]],"")</f>
        <v>120</v>
      </c>
      <c r="F322" s="6">
        <v>46116</v>
      </c>
      <c r="G322" s="25" t="s">
        <v>20</v>
      </c>
      <c r="H322" s="4" t="s">
        <v>21</v>
      </c>
      <c r="I322" s="4" t="s">
        <v>22</v>
      </c>
      <c r="J322" s="4" t="s">
        <v>23</v>
      </c>
      <c r="K322" s="4"/>
    </row>
    <row r="323" spans="1:11" hidden="1">
      <c r="A323" s="4" t="s">
        <v>143</v>
      </c>
      <c r="B323" s="4" t="s">
        <v>31</v>
      </c>
      <c r="C323" s="4">
        <v>2</v>
      </c>
      <c r="D323" s="71">
        <f>IFERROR(VLOOKUP(Easter[[#This Row],[Product Name]],'Lookup sheet'!$A$1:$D$31,4,FALSE),"")</f>
        <v>55</v>
      </c>
      <c r="E323" s="5">
        <f>IFERROR(Easter[[#This Row],[Price (Per Unit ₹)]]*Easter[[#This Row],[Quantity ]],"")</f>
        <v>110</v>
      </c>
      <c r="F323" s="6">
        <v>46116</v>
      </c>
      <c r="G323" s="25" t="s">
        <v>20</v>
      </c>
      <c r="H323" s="4" t="s">
        <v>21</v>
      </c>
      <c r="I323" s="4" t="s">
        <v>22</v>
      </c>
      <c r="J323" s="4" t="s">
        <v>23</v>
      </c>
      <c r="K323" s="4"/>
    </row>
    <row r="324" spans="1:11" hidden="1">
      <c r="A324" s="4" t="s">
        <v>143</v>
      </c>
      <c r="B324" s="4" t="s">
        <v>25</v>
      </c>
      <c r="C324" s="4">
        <v>4</v>
      </c>
      <c r="D324" s="71">
        <f>IFERROR(VLOOKUP(Easter[[#This Row],[Product Name]],'Lookup sheet'!$A$1:$D$31,4,FALSE),"")</f>
        <v>55</v>
      </c>
      <c r="E324" s="5">
        <f>IFERROR(Easter[[#This Row],[Price (Per Unit ₹)]]*Easter[[#This Row],[Quantity ]],"")</f>
        <v>220</v>
      </c>
      <c r="F324" s="6">
        <v>46116</v>
      </c>
      <c r="G324" s="25" t="s">
        <v>20</v>
      </c>
      <c r="H324" s="4" t="s">
        <v>21</v>
      </c>
      <c r="I324" s="4" t="s">
        <v>22</v>
      </c>
      <c r="J324" s="4" t="s">
        <v>23</v>
      </c>
      <c r="K324" s="4"/>
    </row>
    <row r="325" spans="1:11">
      <c r="A325" s="4" t="s">
        <v>144</v>
      </c>
      <c r="B325" s="4" t="s">
        <v>37</v>
      </c>
      <c r="C325" s="4">
        <v>4</v>
      </c>
      <c r="D325" s="71">
        <f>IFERROR(VLOOKUP(Easter[[#This Row],[Product Name]],'Lookup sheet'!$A$1:$D$31,4,FALSE),"")</f>
        <v>100</v>
      </c>
      <c r="E325" s="5">
        <f>IFERROR(Easter[[#This Row],[Price (Per Unit ₹)]]*Easter[[#This Row],[Quantity ]],"")</f>
        <v>400</v>
      </c>
      <c r="F325" s="6">
        <v>46117</v>
      </c>
      <c r="G325" s="25" t="s">
        <v>20</v>
      </c>
      <c r="H325" s="4" t="s">
        <v>21</v>
      </c>
      <c r="I325" s="4" t="s">
        <v>22</v>
      </c>
      <c r="J325" s="4" t="s">
        <v>36</v>
      </c>
      <c r="K325" s="4"/>
    </row>
    <row r="326" spans="1:11" hidden="1">
      <c r="A326" s="4" t="s">
        <v>145</v>
      </c>
      <c r="B326" s="4" t="s">
        <v>40</v>
      </c>
      <c r="C326" s="4">
        <v>2</v>
      </c>
      <c r="D326" s="33">
        <f>IFERROR(VLOOKUP(Easter[[#This Row],[Product Name]],'Lookup sheet'!$A$1:$D$31,4,FALSE),"")</f>
        <v>25</v>
      </c>
      <c r="E326" s="5">
        <f>IFERROR(Easter[[#This Row],[Price (Per Unit ₹)]]*Easter[[#This Row],[Quantity ]],"")</f>
        <v>50</v>
      </c>
      <c r="F326" s="6">
        <v>46117</v>
      </c>
      <c r="G326" s="25" t="s">
        <v>20</v>
      </c>
      <c r="H326" s="4" t="s">
        <v>21</v>
      </c>
      <c r="I326" s="4" t="s">
        <v>45</v>
      </c>
      <c r="J326" s="4" t="s">
        <v>46</v>
      </c>
      <c r="K326" s="4"/>
    </row>
    <row r="327" spans="1:11" hidden="1">
      <c r="A327" s="4" t="s">
        <v>145</v>
      </c>
      <c r="B327" s="4" t="s">
        <v>43</v>
      </c>
      <c r="C327" s="4">
        <v>2</v>
      </c>
      <c r="D327" s="33">
        <f>IFERROR(VLOOKUP(Easter[[#This Row],[Product Name]],'Lookup sheet'!$A$1:$D$31,4,FALSE),"")</f>
        <v>25</v>
      </c>
      <c r="E327" s="5">
        <f>IFERROR(Easter[[#This Row],[Price (Per Unit ₹)]]*Easter[[#This Row],[Quantity ]],"")</f>
        <v>50</v>
      </c>
      <c r="F327" s="6">
        <v>46117</v>
      </c>
      <c r="G327" s="25" t="s">
        <v>20</v>
      </c>
      <c r="H327" s="4" t="s">
        <v>21</v>
      </c>
      <c r="I327" s="4" t="s">
        <v>45</v>
      </c>
      <c r="J327" s="4" t="s">
        <v>46</v>
      </c>
      <c r="K327" s="4"/>
    </row>
    <row r="328" spans="1:11" hidden="1">
      <c r="A328" s="4" t="s">
        <v>145</v>
      </c>
      <c r="B328" s="4" t="s">
        <v>37</v>
      </c>
      <c r="C328" s="4">
        <v>1</v>
      </c>
      <c r="D328" s="33">
        <f>IFERROR(VLOOKUP(Easter[[#This Row],[Product Name]],'Lookup sheet'!$A$1:$D$31,4,FALSE),"")</f>
        <v>100</v>
      </c>
      <c r="E328" s="5">
        <f>IFERROR(Easter[[#This Row],[Price (Per Unit ₹)]]*Easter[[#This Row],[Quantity ]],"")</f>
        <v>100</v>
      </c>
      <c r="F328" s="6">
        <v>46117</v>
      </c>
      <c r="G328" s="25" t="s">
        <v>20</v>
      </c>
      <c r="H328" s="4" t="s">
        <v>21</v>
      </c>
      <c r="I328" s="4" t="s">
        <v>45</v>
      </c>
      <c r="J328" s="4" t="s">
        <v>46</v>
      </c>
      <c r="K328" s="4"/>
    </row>
    <row r="329" spans="1:11" hidden="1">
      <c r="A329" s="4" t="s">
        <v>146</v>
      </c>
      <c r="B329" s="4" t="s">
        <v>37</v>
      </c>
      <c r="C329" s="4">
        <v>2</v>
      </c>
      <c r="D329" s="71">
        <f>IFERROR(VLOOKUP(Easter[[#This Row],[Product Name]],'Lookup sheet'!$A$1:$D$31,4,FALSE),"")</f>
        <v>100</v>
      </c>
      <c r="E329" s="5">
        <f>IFERROR(Easter[[#This Row],[Price (Per Unit ₹)]]*Easter[[#This Row],[Quantity ]],"")</f>
        <v>200</v>
      </c>
      <c r="F329" s="6">
        <v>46115</v>
      </c>
      <c r="G329" s="25" t="s">
        <v>20</v>
      </c>
      <c r="H329" s="4" t="s">
        <v>21</v>
      </c>
      <c r="I329" s="4" t="s">
        <v>45</v>
      </c>
      <c r="J329" s="4" t="s">
        <v>46</v>
      </c>
      <c r="K329" s="4"/>
    </row>
    <row r="330" spans="1:11" hidden="1">
      <c r="A330" s="4" t="s">
        <v>147</v>
      </c>
      <c r="B330" s="4" t="s">
        <v>35</v>
      </c>
      <c r="C330" s="4">
        <v>4</v>
      </c>
      <c r="D330" s="33">
        <f>IFERROR(VLOOKUP(Easter[[#This Row],[Product Name]],'Lookup sheet'!$A$1:$D$31,4,FALSE),"")</f>
        <v>150</v>
      </c>
      <c r="E330" s="5">
        <f>IFERROR(Easter[[#This Row],[Price (Per Unit ₹)]]*Easter[[#This Row],[Quantity ]],"")</f>
        <v>600</v>
      </c>
      <c r="F330" s="6">
        <v>46114</v>
      </c>
      <c r="G330" s="25" t="s">
        <v>20</v>
      </c>
      <c r="H330" s="4" t="s">
        <v>21</v>
      </c>
      <c r="I330" s="4" t="s">
        <v>45</v>
      </c>
      <c r="J330" s="4" t="s">
        <v>46</v>
      </c>
      <c r="K330" s="4"/>
    </row>
    <row r="331" spans="1:11" hidden="1">
      <c r="A331" s="4" t="s">
        <v>148</v>
      </c>
      <c r="B331" s="4" t="s">
        <v>35</v>
      </c>
      <c r="C331" s="4">
        <v>1</v>
      </c>
      <c r="D331" s="71">
        <f>IFERROR(VLOOKUP(Easter[[#This Row],[Product Name]],'Lookup sheet'!$A$1:$D$31,4,FALSE),"")</f>
        <v>150</v>
      </c>
      <c r="E331" s="5">
        <f>IFERROR(Easter[[#This Row],[Price (Per Unit ₹)]]*Easter[[#This Row],[Quantity ]],"")</f>
        <v>150</v>
      </c>
      <c r="F331" s="6">
        <v>46115</v>
      </c>
      <c r="G331" s="25" t="s">
        <v>20</v>
      </c>
      <c r="H331" s="25" t="s">
        <v>21</v>
      </c>
      <c r="I331" s="4" t="s">
        <v>22</v>
      </c>
      <c r="J331" s="4" t="s">
        <v>23</v>
      </c>
      <c r="K331" s="4"/>
    </row>
    <row r="332" spans="1:11" hidden="1">
      <c r="A332" s="4" t="s">
        <v>149</v>
      </c>
      <c r="B332" s="4" t="s">
        <v>30</v>
      </c>
      <c r="C332" s="4">
        <v>10</v>
      </c>
      <c r="D332" s="33">
        <f>IFERROR(VLOOKUP(Easter[[#This Row],[Product Name]],'Lookup sheet'!$A$1:$D$31,4,FALSE),"")</f>
        <v>60</v>
      </c>
      <c r="E332" s="5">
        <f>IFERROR(Easter[[#This Row],[Price (Per Unit ₹)]]*Easter[[#This Row],[Quantity ]],"")</f>
        <v>600</v>
      </c>
      <c r="F332" s="6">
        <v>46117</v>
      </c>
      <c r="G332" s="25" t="s">
        <v>20</v>
      </c>
      <c r="H332" s="4" t="s">
        <v>21</v>
      </c>
      <c r="I332" s="4" t="s">
        <v>45</v>
      </c>
      <c r="J332" s="4" t="s">
        <v>46</v>
      </c>
      <c r="K332" s="4"/>
    </row>
    <row r="333" spans="1:11" hidden="1">
      <c r="A333" s="4" t="s">
        <v>150</v>
      </c>
      <c r="B333" s="4" t="s">
        <v>35</v>
      </c>
      <c r="C333" s="4">
        <v>3</v>
      </c>
      <c r="D333" s="71">
        <f>IFERROR(VLOOKUP(Easter[[#This Row],[Product Name]],'Lookup sheet'!$A$1:$D$31,4,FALSE),"")</f>
        <v>150</v>
      </c>
      <c r="E333" s="5">
        <f>IFERROR(Easter[[#This Row],[Price (Per Unit ₹)]]*Easter[[#This Row],[Quantity ]],"")</f>
        <v>450</v>
      </c>
      <c r="F333" s="6">
        <v>46117</v>
      </c>
      <c r="G333" s="23" t="s">
        <v>20</v>
      </c>
      <c r="H333" s="25" t="s">
        <v>21</v>
      </c>
      <c r="I333" s="4" t="s">
        <v>45</v>
      </c>
      <c r="J333" s="4" t="s">
        <v>46</v>
      </c>
      <c r="K333" s="4"/>
    </row>
    <row r="334" spans="1:11">
      <c r="A334" s="4" t="s">
        <v>151</v>
      </c>
      <c r="B334" s="4" t="s">
        <v>57</v>
      </c>
      <c r="C334" s="4">
        <v>1</v>
      </c>
      <c r="D334" s="71">
        <f>IFERROR(VLOOKUP(Easter[[#This Row],[Product Name]],'Lookup sheet'!$A$1:$D$31,4,FALSE),"")</f>
        <v>40</v>
      </c>
      <c r="E334" s="5">
        <f>IFERROR(Easter[[#This Row],[Price (Per Unit ₹)]]*Easter[[#This Row],[Quantity ]],"")</f>
        <v>40</v>
      </c>
      <c r="F334" s="6">
        <v>46116</v>
      </c>
      <c r="G334" s="25" t="s">
        <v>20</v>
      </c>
      <c r="H334" s="4" t="s">
        <v>21</v>
      </c>
      <c r="I334" s="4" t="s">
        <v>22</v>
      </c>
      <c r="J334" s="4" t="s">
        <v>36</v>
      </c>
      <c r="K334" s="4"/>
    </row>
    <row r="335" spans="1:11">
      <c r="A335" s="4" t="s">
        <v>151</v>
      </c>
      <c r="B335" s="4" t="s">
        <v>24</v>
      </c>
      <c r="C335" s="4">
        <v>1</v>
      </c>
      <c r="D335" s="71">
        <f>IFERROR(VLOOKUP(Easter[[#This Row],[Product Name]],'Lookup sheet'!$A$1:$D$31,4,FALSE),"")</f>
        <v>40</v>
      </c>
      <c r="E335" s="5">
        <f>IFERROR(Easter[[#This Row],[Price (Per Unit ₹)]]*Easter[[#This Row],[Quantity ]],"")</f>
        <v>40</v>
      </c>
      <c r="F335" s="6">
        <v>46116</v>
      </c>
      <c r="G335" s="25" t="s">
        <v>20</v>
      </c>
      <c r="H335" s="4" t="s">
        <v>21</v>
      </c>
      <c r="I335" s="4" t="s">
        <v>22</v>
      </c>
      <c r="J335" s="4" t="s">
        <v>36</v>
      </c>
      <c r="K335" s="4"/>
    </row>
    <row r="336" spans="1:11">
      <c r="A336" s="4" t="s">
        <v>151</v>
      </c>
      <c r="B336" s="4" t="s">
        <v>35</v>
      </c>
      <c r="C336" s="4">
        <v>1</v>
      </c>
      <c r="D336" s="71">
        <f>IFERROR(VLOOKUP(Easter[[#This Row],[Product Name]],'Lookup sheet'!$A$1:$D$31,4,FALSE),"")</f>
        <v>150</v>
      </c>
      <c r="E336" s="5">
        <f>IFERROR(Easter[[#This Row],[Price (Per Unit ₹)]]*Easter[[#This Row],[Quantity ]],"")</f>
        <v>150</v>
      </c>
      <c r="F336" s="6">
        <v>46116</v>
      </c>
      <c r="G336" s="25" t="s">
        <v>20</v>
      </c>
      <c r="H336" s="4" t="s">
        <v>21</v>
      </c>
      <c r="I336" s="4" t="s">
        <v>22</v>
      </c>
      <c r="J336" s="4" t="s">
        <v>36</v>
      </c>
      <c r="K336" s="4"/>
    </row>
    <row r="337" spans="1:11">
      <c r="A337" s="4" t="s">
        <v>151</v>
      </c>
      <c r="B337" s="4" t="s">
        <v>58</v>
      </c>
      <c r="C337" s="4">
        <v>1</v>
      </c>
      <c r="D337" s="71">
        <f>IFERROR(VLOOKUP(Easter[[#This Row],[Product Name]],'Lookup sheet'!$A$1:$D$31,4,FALSE),"")</f>
        <v>130</v>
      </c>
      <c r="E337" s="5">
        <f>IFERROR(Easter[[#This Row],[Price (Per Unit ₹)]]*Easter[[#This Row],[Quantity ]],"")</f>
        <v>130</v>
      </c>
      <c r="F337" s="6">
        <v>46116</v>
      </c>
      <c r="G337" s="25" t="s">
        <v>20</v>
      </c>
      <c r="H337" s="4" t="s">
        <v>21</v>
      </c>
      <c r="I337" s="4" t="s">
        <v>22</v>
      </c>
      <c r="J337" s="4" t="s">
        <v>36</v>
      </c>
      <c r="K337" s="4"/>
    </row>
    <row r="338" spans="1:11">
      <c r="A338" s="4" t="s">
        <v>151</v>
      </c>
      <c r="B338" s="4" t="s">
        <v>75</v>
      </c>
      <c r="C338" s="4">
        <v>1</v>
      </c>
      <c r="D338" s="71">
        <f>IFERROR(VLOOKUP(Easter[[#This Row],[Product Name]],'Lookup sheet'!$A$1:$D$31,4,FALSE),"")</f>
        <v>50</v>
      </c>
      <c r="E338" s="5">
        <f>IFERROR(Easter[[#This Row],[Price (Per Unit ₹)]]*Easter[[#This Row],[Quantity ]],"")</f>
        <v>50</v>
      </c>
      <c r="F338" s="6">
        <v>46116</v>
      </c>
      <c r="G338" s="25" t="s">
        <v>20</v>
      </c>
      <c r="H338" s="4" t="s">
        <v>21</v>
      </c>
      <c r="I338" s="4" t="s">
        <v>22</v>
      </c>
      <c r="J338" s="4" t="s">
        <v>36</v>
      </c>
      <c r="K338" s="4"/>
    </row>
    <row r="339" spans="1:11" hidden="1">
      <c r="A339" s="4" t="s">
        <v>95</v>
      </c>
      <c r="B339" s="4" t="s">
        <v>62</v>
      </c>
      <c r="C339" s="4">
        <v>16</v>
      </c>
      <c r="D339" s="71">
        <f>IFERROR(VLOOKUP(Easter[[#This Row],[Product Name]],'Lookup sheet'!$A$1:$D$31,4,FALSE),"")</f>
        <v>25</v>
      </c>
      <c r="E339" s="5">
        <f>IFERROR(Easter[[#This Row],[Price (Per Unit ₹)]]*Easter[[#This Row],[Quantity ]],"")</f>
        <v>400</v>
      </c>
      <c r="F339" s="6">
        <v>46119</v>
      </c>
      <c r="G339" s="25" t="s">
        <v>20</v>
      </c>
      <c r="H339" s="4" t="s">
        <v>21</v>
      </c>
      <c r="I339" s="4" t="s">
        <v>22</v>
      </c>
      <c r="J339" s="4" t="s">
        <v>23</v>
      </c>
      <c r="K339" s="4"/>
    </row>
    <row r="340" spans="1:11" hidden="1">
      <c r="A340" s="4" t="s">
        <v>152</v>
      </c>
      <c r="B340" s="4" t="s">
        <v>60</v>
      </c>
      <c r="C340" s="4">
        <v>6</v>
      </c>
      <c r="D340" s="71">
        <f>IFERROR(VLOOKUP(Easter[[#This Row],[Product Name]],'Lookup sheet'!$A$1:$D$31,4,FALSE),"")</f>
        <v>130</v>
      </c>
      <c r="E340" s="5">
        <f>IFERROR(Easter[[#This Row],[Price (Per Unit ₹)]]*Easter[[#This Row],[Quantity ]],"")</f>
        <v>780</v>
      </c>
      <c r="F340" s="6">
        <v>46121</v>
      </c>
      <c r="G340" s="25" t="s">
        <v>20</v>
      </c>
      <c r="H340" s="4" t="s">
        <v>21</v>
      </c>
      <c r="I340" s="4" t="s">
        <v>45</v>
      </c>
      <c r="J340" s="4" t="s">
        <v>46</v>
      </c>
      <c r="K340" s="4"/>
    </row>
    <row r="341" spans="1:11" hidden="1">
      <c r="A341" s="4" t="s">
        <v>152</v>
      </c>
      <c r="B341" s="4" t="s">
        <v>19</v>
      </c>
      <c r="C341" s="4">
        <v>8</v>
      </c>
      <c r="D341" s="71">
        <f>IFERROR(VLOOKUP(Easter[[#This Row],[Product Name]],'Lookup sheet'!$A$1:$D$31,4,FALSE),"")</f>
        <v>60</v>
      </c>
      <c r="E341" s="5">
        <f>IFERROR(Easter[[#This Row],[Price (Per Unit ₹)]]*Easter[[#This Row],[Quantity ]],"")</f>
        <v>480</v>
      </c>
      <c r="F341" s="6">
        <v>46121</v>
      </c>
      <c r="G341" s="25" t="s">
        <v>20</v>
      </c>
      <c r="H341" s="4" t="s">
        <v>21</v>
      </c>
      <c r="I341" s="4" t="s">
        <v>45</v>
      </c>
      <c r="J341" s="4" t="s">
        <v>46</v>
      </c>
      <c r="K341" s="4"/>
    </row>
    <row r="342" spans="1:11">
      <c r="A342" s="4" t="s">
        <v>120</v>
      </c>
      <c r="B342" s="4" t="s">
        <v>39</v>
      </c>
      <c r="C342" s="4">
        <v>2</v>
      </c>
      <c r="D342" s="71">
        <f>IFERROR(VLOOKUP(Easter[[#This Row],[Product Name]],'Lookup sheet'!$A$1:$D$31,4,FALSE),"")</f>
        <v>25</v>
      </c>
      <c r="E342" s="5">
        <f>IFERROR(Easter[[#This Row],[Price (Per Unit ₹)]]*Easter[[#This Row],[Quantity ]],"")</f>
        <v>50</v>
      </c>
      <c r="F342" s="6">
        <v>46121</v>
      </c>
      <c r="G342" s="25" t="s">
        <v>20</v>
      </c>
      <c r="H342" s="4" t="s">
        <v>21</v>
      </c>
      <c r="I342" s="4" t="s">
        <v>45</v>
      </c>
      <c r="J342" s="4" t="s">
        <v>36</v>
      </c>
      <c r="K342" s="4"/>
    </row>
    <row r="343" spans="1:11">
      <c r="A343" s="4" t="s">
        <v>120</v>
      </c>
      <c r="B343" s="4" t="s">
        <v>40</v>
      </c>
      <c r="C343" s="4">
        <v>2</v>
      </c>
      <c r="D343" s="71">
        <f>IFERROR(VLOOKUP(Easter[[#This Row],[Product Name]],'Lookup sheet'!$A$1:$D$31,4,FALSE),"")</f>
        <v>25</v>
      </c>
      <c r="E343" s="5">
        <f>IFERROR(Easter[[#This Row],[Price (Per Unit ₹)]]*Easter[[#This Row],[Quantity ]],"")</f>
        <v>50</v>
      </c>
      <c r="F343" s="6">
        <v>46121</v>
      </c>
      <c r="G343" s="25" t="s">
        <v>20</v>
      </c>
      <c r="H343" s="4" t="s">
        <v>21</v>
      </c>
      <c r="I343" s="4" t="s">
        <v>45</v>
      </c>
      <c r="J343" s="4" t="s">
        <v>36</v>
      </c>
      <c r="K343" s="4"/>
    </row>
    <row r="344" spans="1:11">
      <c r="A344" s="4" t="s">
        <v>120</v>
      </c>
      <c r="B344" s="4" t="s">
        <v>43</v>
      </c>
      <c r="C344" s="4">
        <v>2</v>
      </c>
      <c r="D344" s="71">
        <f>IFERROR(VLOOKUP(Easter[[#This Row],[Product Name]],'Lookup sheet'!$A$1:$D$31,4,FALSE),"")</f>
        <v>25</v>
      </c>
      <c r="E344" s="5">
        <f>IFERROR(Easter[[#This Row],[Price (Per Unit ₹)]]*Easter[[#This Row],[Quantity ]],"")</f>
        <v>50</v>
      </c>
      <c r="F344" s="6">
        <v>46121</v>
      </c>
      <c r="G344" s="25" t="s">
        <v>20</v>
      </c>
      <c r="H344" s="4" t="s">
        <v>21</v>
      </c>
      <c r="I344" s="4" t="s">
        <v>45</v>
      </c>
      <c r="J344" s="4" t="s">
        <v>36</v>
      </c>
      <c r="K344" s="4"/>
    </row>
    <row r="345" spans="1:11">
      <c r="A345" s="4" t="s">
        <v>120</v>
      </c>
      <c r="B345" s="4" t="s">
        <v>62</v>
      </c>
      <c r="C345" s="4">
        <v>2</v>
      </c>
      <c r="D345" s="71">
        <f>IFERROR(VLOOKUP(Easter[[#This Row],[Product Name]],'Lookup sheet'!$A$1:$D$31,4,FALSE),"")</f>
        <v>25</v>
      </c>
      <c r="E345" s="5">
        <f>IFERROR(Easter[[#This Row],[Price (Per Unit ₹)]]*Easter[[#This Row],[Quantity ]],"")</f>
        <v>50</v>
      </c>
      <c r="F345" s="6">
        <v>46121</v>
      </c>
      <c r="G345" s="25" t="s">
        <v>20</v>
      </c>
      <c r="H345" s="4" t="s">
        <v>21</v>
      </c>
      <c r="I345" s="4" t="s">
        <v>45</v>
      </c>
      <c r="J345" s="4" t="s">
        <v>36</v>
      </c>
      <c r="K345" s="4"/>
    </row>
    <row r="346" spans="1:11">
      <c r="A346" s="4" t="s">
        <v>120</v>
      </c>
      <c r="B346" s="4" t="s">
        <v>51</v>
      </c>
      <c r="C346" s="4">
        <v>2</v>
      </c>
      <c r="D346" s="71">
        <f>IFERROR(VLOOKUP(Easter[[#This Row],[Product Name]],'Lookup sheet'!$A$1:$D$31,4,FALSE),"")</f>
        <v>20</v>
      </c>
      <c r="E346" s="5">
        <f>IFERROR(Easter[[#This Row],[Price (Per Unit ₹)]]*Easter[[#This Row],[Quantity ]],"")</f>
        <v>40</v>
      </c>
      <c r="F346" s="6">
        <v>46121</v>
      </c>
      <c r="G346" s="25" t="s">
        <v>20</v>
      </c>
      <c r="H346" s="4" t="s">
        <v>21</v>
      </c>
      <c r="I346" s="4" t="s">
        <v>45</v>
      </c>
      <c r="J346" s="4" t="s">
        <v>36</v>
      </c>
      <c r="K346" s="4"/>
    </row>
    <row r="347" spans="1:11">
      <c r="A347" s="4" t="s">
        <v>120</v>
      </c>
      <c r="B347" s="4" t="s">
        <v>42</v>
      </c>
      <c r="C347" s="4">
        <v>2</v>
      </c>
      <c r="D347" s="71">
        <f>IFERROR(VLOOKUP(Easter[[#This Row],[Product Name]],'Lookup sheet'!$A$1:$D$31,4,FALSE),"")</f>
        <v>30</v>
      </c>
      <c r="E347" s="5">
        <f>IFERROR(Easter[[#This Row],[Price (Per Unit ₹)]]*Easter[[#This Row],[Quantity ]],"")</f>
        <v>60</v>
      </c>
      <c r="F347" s="6">
        <v>46121</v>
      </c>
      <c r="G347" s="25" t="s">
        <v>20</v>
      </c>
      <c r="H347" s="4" t="s">
        <v>21</v>
      </c>
      <c r="I347" s="4" t="s">
        <v>45</v>
      </c>
      <c r="J347" s="4" t="s">
        <v>36</v>
      </c>
      <c r="K347" s="4"/>
    </row>
    <row r="348" spans="1:11" hidden="1">
      <c r="A348" s="4" t="s">
        <v>126</v>
      </c>
      <c r="B348" s="4" t="s">
        <v>51</v>
      </c>
      <c r="C348" s="4">
        <v>5</v>
      </c>
      <c r="D348" s="71">
        <f>IFERROR(VLOOKUP(Easter[[#This Row],[Product Name]],'Lookup sheet'!$A$1:$D$31,4,FALSE),"")</f>
        <v>20</v>
      </c>
      <c r="E348" s="5">
        <f>IFERROR(Easter[[#This Row],[Price (Per Unit ₹)]]*Easter[[#This Row],[Quantity ]],"")</f>
        <v>100</v>
      </c>
      <c r="F348" s="6">
        <v>46121</v>
      </c>
      <c r="G348" s="25" t="s">
        <v>20</v>
      </c>
      <c r="H348" s="4" t="s">
        <v>21</v>
      </c>
      <c r="I348" s="4" t="s">
        <v>45</v>
      </c>
      <c r="J348" s="4" t="s">
        <v>46</v>
      </c>
      <c r="K348" s="4"/>
    </row>
    <row r="349" spans="1:11" hidden="1">
      <c r="A349" s="4" t="s">
        <v>126</v>
      </c>
      <c r="B349" s="4" t="s">
        <v>43</v>
      </c>
      <c r="C349" s="4">
        <v>5</v>
      </c>
      <c r="D349" s="71">
        <f>IFERROR(VLOOKUP(Easter[[#This Row],[Product Name]],'Lookup sheet'!$A$1:$D$31,4,FALSE),"")</f>
        <v>25</v>
      </c>
      <c r="E349" s="5">
        <f>IFERROR(Easter[[#This Row],[Price (Per Unit ₹)]]*Easter[[#This Row],[Quantity ]],"")</f>
        <v>125</v>
      </c>
      <c r="F349" s="6">
        <v>46121</v>
      </c>
      <c r="G349" s="25" t="s">
        <v>20</v>
      </c>
      <c r="H349" s="4" t="s">
        <v>21</v>
      </c>
      <c r="I349" s="4" t="s">
        <v>45</v>
      </c>
      <c r="J349" s="4" t="s">
        <v>46</v>
      </c>
      <c r="K349" s="4"/>
    </row>
    <row r="350" spans="1:11" hidden="1">
      <c r="A350" s="4" t="s">
        <v>126</v>
      </c>
      <c r="B350" s="4" t="s">
        <v>39</v>
      </c>
      <c r="C350" s="4">
        <v>10</v>
      </c>
      <c r="D350" s="71">
        <f>IFERROR(VLOOKUP(Easter[[#This Row],[Product Name]],'Lookup sheet'!$A$1:$D$31,4,FALSE),"")</f>
        <v>25</v>
      </c>
      <c r="E350" s="5">
        <f>IFERROR(Easter[[#This Row],[Price (Per Unit ₹)]]*Easter[[#This Row],[Quantity ]],"")</f>
        <v>250</v>
      </c>
      <c r="F350" s="6">
        <v>46121</v>
      </c>
      <c r="G350" s="25" t="s">
        <v>20</v>
      </c>
      <c r="H350" s="4" t="s">
        <v>21</v>
      </c>
      <c r="I350" s="4" t="s">
        <v>45</v>
      </c>
      <c r="J350" s="4" t="s">
        <v>46</v>
      </c>
      <c r="K350" s="4"/>
    </row>
    <row r="351" spans="1:11" hidden="1">
      <c r="A351" s="4" t="s">
        <v>126</v>
      </c>
      <c r="B351" s="4" t="s">
        <v>40</v>
      </c>
      <c r="C351" s="4">
        <v>5</v>
      </c>
      <c r="D351" s="71">
        <f>IFERROR(VLOOKUP(Easter[[#This Row],[Product Name]],'Lookup sheet'!$A$1:$D$31,4,FALSE),"")</f>
        <v>25</v>
      </c>
      <c r="E351" s="5">
        <f>IFERROR(Easter[[#This Row],[Price (Per Unit ₹)]]*Easter[[#This Row],[Quantity ]],"")</f>
        <v>125</v>
      </c>
      <c r="F351" s="6">
        <v>46121</v>
      </c>
      <c r="G351" s="25" t="s">
        <v>20</v>
      </c>
      <c r="H351" s="4" t="s">
        <v>21</v>
      </c>
      <c r="I351" s="4" t="s">
        <v>45</v>
      </c>
      <c r="J351" s="4" t="s">
        <v>46</v>
      </c>
      <c r="K351" s="4"/>
    </row>
    <row r="352" spans="1:11">
      <c r="A352" s="4" t="s">
        <v>153</v>
      </c>
      <c r="B352" s="4" t="s">
        <v>31</v>
      </c>
      <c r="C352" s="4">
        <v>1</v>
      </c>
      <c r="D352" s="71">
        <f>IFERROR(VLOOKUP(Easter[[#This Row],[Product Name]],'Lookup sheet'!$A$1:$D$31,4,FALSE),"")</f>
        <v>55</v>
      </c>
      <c r="E352" s="5">
        <f>IFERROR(Easter[[#This Row],[Price (Per Unit ₹)]]*Easter[[#This Row],[Quantity ]],"")</f>
        <v>55</v>
      </c>
      <c r="F352" s="6">
        <v>46136</v>
      </c>
      <c r="G352" s="25" t="s">
        <v>20</v>
      </c>
      <c r="H352" s="4" t="s">
        <v>21</v>
      </c>
      <c r="I352" s="4" t="s">
        <v>22</v>
      </c>
      <c r="J352" s="4" t="s">
        <v>36</v>
      </c>
      <c r="K352" s="4"/>
    </row>
  </sheetData>
  <protectedRanges>
    <protectedRange sqref="B6:B9973" name="Range1"/>
  </protectedRanges>
  <mergeCells count="11">
    <mergeCell ref="J3:J4"/>
    <mergeCell ref="J1:J2"/>
    <mergeCell ref="I1:I2"/>
    <mergeCell ref="I3:I4"/>
    <mergeCell ref="A1:H2"/>
    <mergeCell ref="F3:H3"/>
    <mergeCell ref="F4:H4"/>
    <mergeCell ref="C3:E3"/>
    <mergeCell ref="C4:E4"/>
    <mergeCell ref="A4:B4"/>
    <mergeCell ref="A3:B3"/>
  </mergeCells>
  <dataValidations count="2">
    <dataValidation allowBlank="1" showInputMessage="1" showErrorMessage="1" sqref="B5" xr:uid="{F1A70E13-680D-4C4E-ACDE-5775A3BE8ADB}"/>
    <dataValidation type="whole" showInputMessage="1" showErrorMessage="1" errorTitle="Invalid Quantity " error="Alteast enter 1 Quantity " sqref="C6:C352" xr:uid="{DB9BB6E2-4712-4C39-AD25-C4DD6EC175E5}">
      <formula1>1</formula1>
      <formula2>1000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B23FB32F-B828-4460-AC02-DF2929D75F2D}">
            <x14:iconSet iconSet="3Triangles">
              <x14:cfvo type="percent">
                <xm:f>0</xm:f>
              </x14:cfvo>
              <x14:cfvo type="num">
                <xm:f>-8600</xm:f>
              </x14:cfvo>
              <x14:cfvo type="num" gte="0">
                <xm:f>0</xm:f>
              </x14:cfvo>
            </x14:iconSet>
          </x14:cfRule>
          <xm:sqref>J1</xm:sqref>
        </x14:conditionalFormatting>
        <x14:conditionalFormatting xmlns:xm="http://schemas.microsoft.com/office/excel/2006/main">
          <x14:cfRule type="iconSet" priority="1" id="{15A406EF-A56D-4A99-B42C-D1B27D4DD8F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3EDFB8-9C68-44F8-B147-28C77CBBAE3B}">
          <x14:formula1>
            <xm:f>'Lookup sheet'!$A$2:$A$30</xm:f>
          </x14:formula1>
          <xm:sqref>B3:B4</xm:sqref>
        </x14:dataValidation>
        <x14:dataValidation type="list" allowBlank="1" showInputMessage="1" showErrorMessage="1" xr:uid="{85FA5DD5-BE6E-411E-AA4B-1B3831CCE2CA}">
          <x14:formula1>
            <xm:f>'Lookup sheet'!$G$7:$G$8</xm:f>
          </x14:formula1>
          <xm:sqref>I6:I1048576</xm:sqref>
        </x14:dataValidation>
        <x14:dataValidation type="list" allowBlank="1" showInputMessage="1" showErrorMessage="1" xr:uid="{199B31B5-DEC6-4658-AB42-A290B2FA5081}">
          <x14:formula1>
            <xm:f>'Lookup sheet'!$I$1:$I$3</xm:f>
          </x14:formula1>
          <xm:sqref>H6:H1048576</xm:sqref>
        </x14:dataValidation>
        <x14:dataValidation type="list" allowBlank="1" showInputMessage="1" showErrorMessage="1" xr:uid="{CFE9134B-545C-41A0-88D6-FDB6CBCABAEA}">
          <x14:formula1>
            <xm:f>'Lookup sheet'!$G$1:$G$5</xm:f>
          </x14:formula1>
          <xm:sqref>G6:G1048576</xm:sqref>
        </x14:dataValidation>
        <x14:dataValidation type="list" allowBlank="1" showInputMessage="1" showErrorMessage="1" xr:uid="{A820DF04-7416-4311-8D1B-08646D042A70}">
          <x14:formula1>
            <xm:f>'Lookup sheet'!$A$2:$A$31</xm:f>
          </x14:formula1>
          <xm:sqref>B6:B1048576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016B-D503-4F9D-AC63-153BA91FB09D}">
  <sheetPr>
    <tabColor theme="8" tint="0.59999389629810485"/>
  </sheetPr>
  <dimension ref="A3:K37"/>
  <sheetViews>
    <sheetView topLeftCell="A21" workbookViewId="0">
      <selection activeCell="B36" sqref="B36"/>
    </sheetView>
  </sheetViews>
  <sheetFormatPr defaultColWidth="10.7109375" defaultRowHeight="15"/>
  <cols>
    <col min="1" max="1" width="30.28515625" customWidth="1"/>
    <col min="2" max="2" width="18.28515625" customWidth="1"/>
    <col min="3" max="3" width="10.7109375" customWidth="1"/>
    <col min="4" max="4" width="13.5703125" customWidth="1"/>
    <col min="5" max="5" width="21.28515625" style="131" customWidth="1"/>
    <col min="6" max="6" width="13.42578125" bestFit="1" customWidth="1"/>
    <col min="7" max="7" width="14.7109375" bestFit="1" customWidth="1"/>
    <col min="8" max="8" width="26" bestFit="1" customWidth="1"/>
    <col min="9" max="9" width="15.28515625" bestFit="1" customWidth="1"/>
  </cols>
  <sheetData>
    <row r="3" spans="1:11">
      <c r="A3" s="195" t="s">
        <v>154</v>
      </c>
      <c r="B3" s="195"/>
      <c r="C3" s="195"/>
      <c r="D3" s="7"/>
      <c r="E3" s="7"/>
    </row>
    <row r="4" spans="1:11">
      <c r="A4" s="195"/>
      <c r="B4" s="195"/>
      <c r="C4" s="195"/>
      <c r="D4" s="7"/>
      <c r="E4" s="7"/>
    </row>
    <row r="5" spans="1:11">
      <c r="A5" s="64" t="s">
        <v>155</v>
      </c>
      <c r="B5" s="64" t="s">
        <v>13</v>
      </c>
      <c r="C5" s="8"/>
    </row>
    <row r="6" spans="1:11">
      <c r="A6" s="132" t="s">
        <v>8</v>
      </c>
      <c r="B6" s="132" t="s">
        <v>83</v>
      </c>
      <c r="C6" s="166" t="s">
        <v>20</v>
      </c>
      <c r="E6" s="158" t="s">
        <v>156</v>
      </c>
      <c r="F6" s="139" t="s">
        <v>157</v>
      </c>
      <c r="G6" s="133"/>
      <c r="H6" s="138"/>
      <c r="I6" s="32"/>
      <c r="J6" s="32"/>
      <c r="K6" s="32"/>
    </row>
    <row r="7" spans="1:11">
      <c r="A7" s="127" t="s">
        <v>69</v>
      </c>
      <c r="B7" s="128">
        <v>0</v>
      </c>
      <c r="C7" s="135">
        <v>3</v>
      </c>
      <c r="E7" s="140">
        <v>1</v>
      </c>
      <c r="F7" s="142">
        <f>B7-E7</f>
        <v>-1</v>
      </c>
      <c r="G7" s="134"/>
      <c r="H7" s="137"/>
      <c r="I7" s="32"/>
      <c r="J7" s="32"/>
      <c r="K7" s="32"/>
    </row>
    <row r="8" spans="1:11">
      <c r="A8" s="127" t="s">
        <v>19</v>
      </c>
      <c r="B8" s="128">
        <v>15</v>
      </c>
      <c r="C8" s="135">
        <v>68</v>
      </c>
      <c r="E8" s="140">
        <v>5</v>
      </c>
      <c r="F8" s="142">
        <f t="shared" ref="F8:F36" si="0">B8-E8</f>
        <v>10</v>
      </c>
      <c r="G8" s="134"/>
      <c r="H8" s="137"/>
      <c r="I8" s="32"/>
      <c r="J8" s="32"/>
      <c r="K8" s="32"/>
    </row>
    <row r="9" spans="1:11">
      <c r="A9" s="127" t="s">
        <v>39</v>
      </c>
      <c r="B9" s="128">
        <v>0</v>
      </c>
      <c r="C9" s="135">
        <v>140</v>
      </c>
      <c r="E9" s="140">
        <v>0</v>
      </c>
      <c r="F9" s="142">
        <f t="shared" si="0"/>
        <v>0</v>
      </c>
      <c r="G9" s="134"/>
      <c r="H9" s="137"/>
      <c r="I9" s="32"/>
      <c r="J9" s="32"/>
      <c r="K9" s="32"/>
    </row>
    <row r="10" spans="1:11">
      <c r="A10" s="127" t="s">
        <v>55</v>
      </c>
      <c r="B10" s="128">
        <v>0</v>
      </c>
      <c r="C10" s="135">
        <v>20</v>
      </c>
      <c r="E10" s="140">
        <v>3</v>
      </c>
      <c r="F10" s="142">
        <f t="shared" si="0"/>
        <v>-3</v>
      </c>
      <c r="G10" s="134"/>
      <c r="H10" s="137"/>
      <c r="I10" s="32"/>
      <c r="J10" s="32"/>
      <c r="K10" s="32"/>
    </row>
    <row r="11" spans="1:11">
      <c r="A11" s="127" t="s">
        <v>30</v>
      </c>
      <c r="B11" s="128">
        <v>0</v>
      </c>
      <c r="C11" s="135">
        <v>42</v>
      </c>
      <c r="E11" s="140">
        <v>0</v>
      </c>
      <c r="F11" s="142">
        <f t="shared" si="0"/>
        <v>0</v>
      </c>
      <c r="G11" s="134"/>
      <c r="H11" s="137"/>
      <c r="I11" s="32"/>
      <c r="J11" s="32"/>
      <c r="K11" s="32"/>
    </row>
    <row r="12" spans="1:11">
      <c r="A12" s="127" t="s">
        <v>33</v>
      </c>
      <c r="B12" s="128">
        <v>2</v>
      </c>
      <c r="C12" s="135">
        <v>29</v>
      </c>
      <c r="E12" s="140">
        <v>0</v>
      </c>
      <c r="F12" s="142">
        <f t="shared" si="0"/>
        <v>2</v>
      </c>
      <c r="G12" s="134"/>
      <c r="H12" s="137"/>
      <c r="I12" s="32"/>
      <c r="J12" s="32"/>
      <c r="K12" s="32"/>
    </row>
    <row r="13" spans="1:11">
      <c r="A13" s="127" t="s">
        <v>27</v>
      </c>
      <c r="B13" s="128">
        <v>0</v>
      </c>
      <c r="C13" s="135">
        <v>62</v>
      </c>
      <c r="E13" s="140">
        <v>0</v>
      </c>
      <c r="F13" s="142">
        <f t="shared" si="0"/>
        <v>0</v>
      </c>
      <c r="G13" s="134"/>
      <c r="H13" s="137"/>
      <c r="I13" s="32"/>
      <c r="J13" s="32"/>
      <c r="K13" s="32"/>
    </row>
    <row r="14" spans="1:11">
      <c r="A14" s="127" t="s">
        <v>42</v>
      </c>
      <c r="B14" s="128">
        <v>1</v>
      </c>
      <c r="C14" s="135">
        <v>31</v>
      </c>
      <c r="E14" s="140">
        <v>7</v>
      </c>
      <c r="F14" s="142">
        <f t="shared" si="0"/>
        <v>-6</v>
      </c>
      <c r="G14" s="134"/>
      <c r="H14" s="137"/>
      <c r="I14" s="32"/>
      <c r="J14" s="32"/>
      <c r="K14" s="32"/>
    </row>
    <row r="15" spans="1:11">
      <c r="A15" s="127" t="s">
        <v>64</v>
      </c>
      <c r="B15" s="128">
        <v>0</v>
      </c>
      <c r="C15" s="135">
        <v>3</v>
      </c>
      <c r="E15" s="140">
        <v>0</v>
      </c>
      <c r="F15" s="142">
        <f t="shared" si="0"/>
        <v>0</v>
      </c>
      <c r="G15" s="134"/>
      <c r="H15" s="137"/>
      <c r="I15" s="32"/>
      <c r="J15" s="32"/>
      <c r="K15" s="32"/>
    </row>
    <row r="16" spans="1:11">
      <c r="A16" s="127" t="s">
        <v>56</v>
      </c>
      <c r="B16" s="128">
        <v>0</v>
      </c>
      <c r="C16" s="135">
        <v>107</v>
      </c>
      <c r="E16" s="140">
        <v>0</v>
      </c>
      <c r="F16" s="142">
        <f t="shared" si="0"/>
        <v>0</v>
      </c>
      <c r="G16" s="134"/>
      <c r="H16" s="137"/>
      <c r="I16" s="32"/>
      <c r="J16" s="32"/>
      <c r="K16" s="32"/>
    </row>
    <row r="17" spans="1:11">
      <c r="A17" s="127" t="s">
        <v>65</v>
      </c>
      <c r="B17" s="128">
        <v>0</v>
      </c>
      <c r="C17" s="135">
        <v>2</v>
      </c>
      <c r="E17" s="140">
        <v>0</v>
      </c>
      <c r="F17" s="142">
        <f t="shared" si="0"/>
        <v>0</v>
      </c>
      <c r="G17" s="134"/>
      <c r="H17" s="137"/>
      <c r="I17" s="32"/>
      <c r="J17" s="32"/>
      <c r="K17" s="32"/>
    </row>
    <row r="18" spans="1:11">
      <c r="A18" s="127" t="s">
        <v>57</v>
      </c>
      <c r="B18" s="128">
        <v>0</v>
      </c>
      <c r="C18" s="135">
        <v>21</v>
      </c>
      <c r="E18" s="140">
        <v>0</v>
      </c>
      <c r="F18" s="142">
        <f t="shared" si="0"/>
        <v>0</v>
      </c>
      <c r="G18" s="134"/>
      <c r="H18" s="137"/>
      <c r="I18" s="32"/>
      <c r="J18" s="32"/>
      <c r="K18" s="32"/>
    </row>
    <row r="19" spans="1:11">
      <c r="A19" s="127" t="s">
        <v>24</v>
      </c>
      <c r="B19" s="128">
        <v>0</v>
      </c>
      <c r="C19" s="135">
        <v>30</v>
      </c>
      <c r="E19" s="140">
        <v>0</v>
      </c>
      <c r="F19" s="142">
        <f t="shared" si="0"/>
        <v>0</v>
      </c>
      <c r="G19" s="134"/>
      <c r="H19" s="137"/>
      <c r="I19" s="32"/>
      <c r="J19" s="32"/>
      <c r="K19" s="32"/>
    </row>
    <row r="20" spans="1:11">
      <c r="A20" s="127" t="s">
        <v>58</v>
      </c>
      <c r="B20" s="128">
        <v>0</v>
      </c>
      <c r="C20" s="135">
        <v>12</v>
      </c>
      <c r="E20" s="140">
        <v>0</v>
      </c>
      <c r="F20" s="142">
        <f t="shared" si="0"/>
        <v>0</v>
      </c>
      <c r="G20" s="134"/>
      <c r="H20" s="137"/>
      <c r="I20" s="32"/>
      <c r="J20" s="32"/>
      <c r="K20" s="32"/>
    </row>
    <row r="21" spans="1:11">
      <c r="A21" s="127" t="s">
        <v>28</v>
      </c>
      <c r="B21" s="128">
        <v>0</v>
      </c>
      <c r="C21" s="135">
        <v>83</v>
      </c>
      <c r="E21" s="140">
        <v>0</v>
      </c>
      <c r="F21" s="142">
        <f t="shared" si="0"/>
        <v>0</v>
      </c>
      <c r="G21" s="134"/>
      <c r="H21" s="137"/>
      <c r="I21" s="32"/>
      <c r="J21" s="32"/>
      <c r="K21" s="32"/>
    </row>
    <row r="22" spans="1:11">
      <c r="A22" s="127" t="s">
        <v>40</v>
      </c>
      <c r="B22" s="128">
        <v>1</v>
      </c>
      <c r="C22" s="135">
        <v>88</v>
      </c>
      <c r="E22" s="140">
        <v>0</v>
      </c>
      <c r="F22" s="142">
        <f t="shared" si="0"/>
        <v>1</v>
      </c>
      <c r="G22" s="134"/>
      <c r="H22" s="137"/>
      <c r="I22" s="32"/>
      <c r="J22" s="32"/>
      <c r="K22" s="32"/>
    </row>
    <row r="23" spans="1:11">
      <c r="A23" s="127" t="s">
        <v>35</v>
      </c>
      <c r="B23" s="128">
        <v>0</v>
      </c>
      <c r="C23" s="135">
        <v>79</v>
      </c>
      <c r="E23" s="140">
        <v>0</v>
      </c>
      <c r="F23" s="142">
        <f t="shared" si="0"/>
        <v>0</v>
      </c>
      <c r="G23" s="134"/>
      <c r="H23" s="137"/>
      <c r="I23" s="32"/>
      <c r="J23" s="32"/>
      <c r="K23" s="32"/>
    </row>
    <row r="24" spans="1:11">
      <c r="A24" s="127" t="s">
        <v>59</v>
      </c>
      <c r="B24" s="128">
        <v>0</v>
      </c>
      <c r="C24" s="135">
        <v>18</v>
      </c>
      <c r="E24" s="140">
        <v>1</v>
      </c>
      <c r="F24" s="142">
        <f t="shared" si="0"/>
        <v>-1</v>
      </c>
      <c r="G24" s="134"/>
      <c r="H24" s="137"/>
      <c r="I24" s="32"/>
      <c r="J24" s="32"/>
      <c r="K24" s="32"/>
    </row>
    <row r="25" spans="1:11">
      <c r="A25" s="127" t="s">
        <v>31</v>
      </c>
      <c r="B25" s="128">
        <v>0</v>
      </c>
      <c r="C25" s="135">
        <v>81</v>
      </c>
      <c r="E25" s="140">
        <v>1</v>
      </c>
      <c r="F25" s="142">
        <f t="shared" si="0"/>
        <v>-1</v>
      </c>
      <c r="G25" s="134"/>
      <c r="H25" s="137"/>
      <c r="I25" s="32"/>
      <c r="J25" s="32"/>
      <c r="K25" s="32"/>
    </row>
    <row r="26" spans="1:11">
      <c r="A26" s="127" t="s">
        <v>43</v>
      </c>
      <c r="B26" s="128">
        <v>2</v>
      </c>
      <c r="C26" s="135">
        <v>99</v>
      </c>
      <c r="E26" s="140">
        <v>0</v>
      </c>
      <c r="F26" s="142">
        <f t="shared" si="0"/>
        <v>2</v>
      </c>
      <c r="G26" s="134"/>
      <c r="H26" s="137"/>
      <c r="I26" s="32"/>
      <c r="J26" s="32"/>
      <c r="K26" s="32"/>
    </row>
    <row r="27" spans="1:11">
      <c r="A27" s="127" t="s">
        <v>37</v>
      </c>
      <c r="B27" s="128">
        <v>0</v>
      </c>
      <c r="C27" s="135">
        <v>52</v>
      </c>
      <c r="E27" s="140">
        <v>0</v>
      </c>
      <c r="F27" s="142">
        <f t="shared" si="0"/>
        <v>0</v>
      </c>
      <c r="G27" s="134"/>
      <c r="H27" s="137"/>
      <c r="I27" s="32"/>
      <c r="J27" s="32"/>
      <c r="K27" s="32"/>
    </row>
    <row r="28" spans="1:11">
      <c r="A28" s="127" t="s">
        <v>92</v>
      </c>
      <c r="B28" s="128">
        <v>0</v>
      </c>
      <c r="C28" s="135">
        <v>44</v>
      </c>
      <c r="E28" s="140">
        <v>0</v>
      </c>
      <c r="F28" s="142">
        <f t="shared" si="0"/>
        <v>0</v>
      </c>
      <c r="G28" s="134"/>
      <c r="H28" s="137"/>
      <c r="I28" s="32"/>
      <c r="J28" s="32"/>
      <c r="K28" s="32"/>
    </row>
    <row r="29" spans="1:11">
      <c r="A29" s="127" t="s">
        <v>51</v>
      </c>
      <c r="B29" s="128">
        <v>0</v>
      </c>
      <c r="C29" s="135">
        <v>60</v>
      </c>
      <c r="E29" s="141">
        <v>2</v>
      </c>
      <c r="F29" s="142">
        <f t="shared" si="0"/>
        <v>-2</v>
      </c>
      <c r="G29" s="134"/>
      <c r="H29" s="137"/>
      <c r="I29" s="32"/>
      <c r="J29" s="32"/>
      <c r="K29" s="32"/>
    </row>
    <row r="30" spans="1:11">
      <c r="A30" s="127" t="s">
        <v>75</v>
      </c>
      <c r="B30" s="128">
        <v>0</v>
      </c>
      <c r="C30" s="135">
        <v>38</v>
      </c>
      <c r="E30" s="140">
        <v>3</v>
      </c>
      <c r="F30" s="142">
        <f t="shared" si="0"/>
        <v>-3</v>
      </c>
      <c r="G30" s="134"/>
      <c r="H30" s="137"/>
      <c r="I30" s="32"/>
      <c r="J30" s="32"/>
      <c r="K30" s="32"/>
    </row>
    <row r="31" spans="1:11">
      <c r="A31" s="127" t="s">
        <v>47</v>
      </c>
      <c r="B31" s="128">
        <v>0</v>
      </c>
      <c r="C31" s="135">
        <v>27</v>
      </c>
      <c r="E31" s="140">
        <v>0</v>
      </c>
      <c r="F31" s="142">
        <f t="shared" si="0"/>
        <v>0</v>
      </c>
      <c r="G31" s="134"/>
      <c r="H31" s="137"/>
      <c r="I31" s="32"/>
      <c r="J31" s="32"/>
      <c r="K31" s="32"/>
    </row>
    <row r="32" spans="1:11">
      <c r="A32" s="127" t="s">
        <v>93</v>
      </c>
      <c r="B32" s="128">
        <v>0</v>
      </c>
      <c r="C32" s="135">
        <v>10</v>
      </c>
      <c r="E32" s="140">
        <v>0</v>
      </c>
      <c r="F32" s="142">
        <f t="shared" si="0"/>
        <v>0</v>
      </c>
      <c r="G32" s="134"/>
      <c r="H32" s="137"/>
      <c r="I32" s="32"/>
      <c r="J32" s="32"/>
      <c r="K32" s="32"/>
    </row>
    <row r="33" spans="1:11">
      <c r="A33" s="127" t="s">
        <v>52</v>
      </c>
      <c r="B33" s="128">
        <v>0</v>
      </c>
      <c r="C33" s="135">
        <v>6</v>
      </c>
      <c r="E33" s="140">
        <v>0</v>
      </c>
      <c r="F33" s="142">
        <f t="shared" si="0"/>
        <v>0</v>
      </c>
      <c r="G33" s="134"/>
      <c r="H33" s="137"/>
      <c r="I33" s="32"/>
      <c r="J33" s="32"/>
      <c r="K33" s="32"/>
    </row>
    <row r="34" spans="1:11">
      <c r="A34" s="127" t="s">
        <v>60</v>
      </c>
      <c r="B34" s="128">
        <v>0</v>
      </c>
      <c r="C34" s="135">
        <v>30</v>
      </c>
      <c r="E34" s="140">
        <v>0</v>
      </c>
      <c r="F34" s="142">
        <f t="shared" si="0"/>
        <v>0</v>
      </c>
      <c r="G34" s="134"/>
      <c r="H34" s="137"/>
      <c r="I34" s="32"/>
      <c r="J34" s="32"/>
      <c r="K34" s="32"/>
    </row>
    <row r="35" spans="1:11">
      <c r="A35" s="127" t="s">
        <v>25</v>
      </c>
      <c r="B35" s="128">
        <v>0</v>
      </c>
      <c r="C35" s="135">
        <v>90</v>
      </c>
      <c r="E35" s="140">
        <v>0</v>
      </c>
      <c r="F35" s="142">
        <f t="shared" si="0"/>
        <v>0</v>
      </c>
      <c r="G35" s="134"/>
      <c r="H35" s="137"/>
      <c r="I35" s="32"/>
      <c r="J35" s="32"/>
      <c r="K35" s="32"/>
    </row>
    <row r="36" spans="1:11">
      <c r="A36" s="127" t="s">
        <v>62</v>
      </c>
      <c r="B36" s="128">
        <v>2</v>
      </c>
      <c r="C36" s="135">
        <v>89</v>
      </c>
      <c r="E36" s="140">
        <v>0</v>
      </c>
      <c r="F36" s="142">
        <f t="shared" si="0"/>
        <v>2</v>
      </c>
      <c r="G36" s="133"/>
      <c r="H36" s="137"/>
      <c r="I36" s="32"/>
      <c r="J36" s="32"/>
      <c r="K36" s="32"/>
    </row>
    <row r="37" spans="1:11">
      <c r="A37" s="129" t="s">
        <v>158</v>
      </c>
      <c r="B37" s="130">
        <v>23</v>
      </c>
      <c r="C37" s="136">
        <v>1464</v>
      </c>
      <c r="E37" s="157">
        <f>SUM(E7:E36)</f>
        <v>23</v>
      </c>
      <c r="F37" s="143">
        <f>SUM(F7:F36)</f>
        <v>0</v>
      </c>
      <c r="G37" s="29"/>
    </row>
  </sheetData>
  <mergeCells count="1">
    <mergeCell ref="A3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64D6-38AD-402C-B43D-0CF5D7B4AA0C}">
  <sheetPr>
    <tabColor theme="3" tint="0.499984740745262"/>
  </sheetPr>
  <dimension ref="A1:O38"/>
  <sheetViews>
    <sheetView topLeftCell="F25" workbookViewId="0">
      <selection activeCell="J30" sqref="J30"/>
    </sheetView>
  </sheetViews>
  <sheetFormatPr defaultColWidth="12.7109375" defaultRowHeight="31.5" customHeight="1"/>
  <cols>
    <col min="1" max="1" width="26" style="3" bestFit="1" customWidth="1"/>
    <col min="2" max="2" width="12.7109375" style="3"/>
    <col min="3" max="3" width="14.140625" style="3" bestFit="1" customWidth="1"/>
    <col min="4" max="4" width="12.7109375" style="3"/>
    <col min="5" max="5" width="12.140625" style="3" bestFit="1" customWidth="1"/>
    <col min="6" max="6" width="12.7109375" style="3"/>
    <col min="7" max="7" width="26" style="3" bestFit="1" customWidth="1"/>
    <col min="8" max="8" width="15" bestFit="1" customWidth="1"/>
    <col min="9" max="9" width="10.5703125" customWidth="1"/>
    <col min="10" max="10" width="12.140625" customWidth="1"/>
    <col min="11" max="11" width="15.5703125" customWidth="1"/>
    <col min="12" max="12" width="19.85546875" customWidth="1"/>
    <col min="13" max="13" width="13.140625" customWidth="1"/>
    <col min="14" max="14" width="15.85546875" bestFit="1" customWidth="1"/>
    <col min="15" max="15" width="17.85546875" bestFit="1" customWidth="1"/>
  </cols>
  <sheetData>
    <row r="1" spans="1:15" ht="31.5" customHeight="1">
      <c r="A1" s="200" t="s">
        <v>159</v>
      </c>
      <c r="B1" s="201"/>
      <c r="C1" s="201"/>
      <c r="D1" s="201"/>
      <c r="E1" s="201"/>
      <c r="F1" s="201"/>
      <c r="G1" s="201"/>
      <c r="H1" s="103"/>
    </row>
    <row r="2" spans="1:15" ht="31.5" customHeight="1">
      <c r="A2" s="202" t="s">
        <v>160</v>
      </c>
      <c r="B2" s="202"/>
      <c r="C2" s="202"/>
      <c r="D2" s="202"/>
      <c r="E2" s="202"/>
      <c r="F2" s="202"/>
      <c r="G2" s="202"/>
    </row>
    <row r="3" spans="1:15" ht="31.5" customHeight="1">
      <c r="A3" s="21" t="s">
        <v>161</v>
      </c>
      <c r="B3" s="203" t="s">
        <v>162</v>
      </c>
      <c r="C3" s="203"/>
      <c r="D3" s="203"/>
      <c r="E3" s="203"/>
      <c r="F3" s="203"/>
      <c r="G3" s="203"/>
    </row>
    <row r="4" spans="1:15" ht="31.5" customHeight="1">
      <c r="A4" s="22" t="s">
        <v>163</v>
      </c>
      <c r="B4" s="204" t="s">
        <v>164</v>
      </c>
      <c r="C4" s="204"/>
      <c r="D4" s="204"/>
      <c r="E4" s="204"/>
      <c r="F4" s="204"/>
      <c r="G4" s="204"/>
    </row>
    <row r="5" spans="1:15" ht="31.5" customHeight="1">
      <c r="A5" s="21" t="s">
        <v>165</v>
      </c>
      <c r="B5" s="205" t="s">
        <v>166</v>
      </c>
      <c r="C5" s="205"/>
      <c r="D5" s="205"/>
      <c r="E5" s="205"/>
      <c r="F5" s="205"/>
      <c r="G5" s="205"/>
    </row>
    <row r="6" spans="1:15" ht="31.5" customHeight="1">
      <c r="A6" s="2"/>
      <c r="B6" s="2"/>
      <c r="C6" s="2"/>
      <c r="D6" s="2"/>
      <c r="E6" s="2"/>
      <c r="F6" s="2"/>
      <c r="G6" s="2"/>
      <c r="J6" s="29"/>
      <c r="K6" s="29"/>
      <c r="L6" s="29"/>
      <c r="M6" s="29"/>
    </row>
    <row r="7" spans="1:15" ht="31.5" customHeight="1">
      <c r="A7" s="206" t="s">
        <v>167</v>
      </c>
      <c r="B7" s="206"/>
      <c r="C7" s="206"/>
      <c r="D7" s="206"/>
      <c r="E7" s="206"/>
      <c r="F7" s="62"/>
      <c r="G7" s="207" t="s">
        <v>168</v>
      </c>
      <c r="H7" s="207"/>
      <c r="J7" s="208" t="s">
        <v>169</v>
      </c>
      <c r="K7" s="208"/>
      <c r="L7" s="208"/>
      <c r="M7" s="208"/>
    </row>
    <row r="8" spans="1:15" ht="39.75" customHeight="1">
      <c r="A8" s="28" t="s">
        <v>170</v>
      </c>
      <c r="B8" s="17" t="s">
        <v>171</v>
      </c>
      <c r="C8" s="18" t="s">
        <v>172</v>
      </c>
      <c r="D8" s="18" t="s">
        <v>173</v>
      </c>
      <c r="E8" s="18" t="s">
        <v>174</v>
      </c>
      <c r="G8" s="122" t="s">
        <v>170</v>
      </c>
      <c r="H8" s="123" t="s">
        <v>175</v>
      </c>
      <c r="J8" s="17" t="s">
        <v>176</v>
      </c>
      <c r="K8" s="17" t="s">
        <v>177</v>
      </c>
      <c r="L8" s="17" t="s">
        <v>178</v>
      </c>
      <c r="M8" s="60" t="s">
        <v>179</v>
      </c>
    </row>
    <row r="9" spans="1:15" ht="31.5" customHeight="1">
      <c r="A9" s="72" t="s">
        <v>69</v>
      </c>
      <c r="B9" s="89">
        <f>SUMIF(Easter[Product Name],'Production Sheet'!A9,Easter[[Quantity ]])</f>
        <v>3</v>
      </c>
      <c r="C9" s="19">
        <f>H9*B9</f>
        <v>168.9375</v>
      </c>
      <c r="D9" s="19">
        <f>(C9)*0.12</f>
        <v>20.272500000000001</v>
      </c>
      <c r="E9" s="20">
        <f>C9+D9</f>
        <v>189.21</v>
      </c>
      <c r="G9" s="118" t="s">
        <v>69</v>
      </c>
      <c r="H9" s="119">
        <f>VLOOKUP(Table2[[#This Row],[Product]],'Making cost '!$D$2:$O$31,12,FALSE)</f>
        <v>56.3125</v>
      </c>
      <c r="J9" s="16" t="s">
        <v>180</v>
      </c>
      <c r="K9" s="27">
        <v>150</v>
      </c>
      <c r="L9" s="26">
        <v>13</v>
      </c>
      <c r="M9" s="58">
        <f>K9*L9</f>
        <v>1950</v>
      </c>
    </row>
    <row r="10" spans="1:15" ht="31.5" customHeight="1">
      <c r="A10" s="72" t="s">
        <v>19</v>
      </c>
      <c r="B10" s="89">
        <f>SUMIF(Easter[Product Name],'Production Sheet'!A10,Easter[[Quantity ]])</f>
        <v>83</v>
      </c>
      <c r="C10" s="19">
        <f>H10*B10</f>
        <v>1768.9375</v>
      </c>
      <c r="D10" s="19">
        <f>(C10)*0.12</f>
        <v>212.27249999999998</v>
      </c>
      <c r="E10" s="20">
        <f>C10+D10</f>
        <v>1981.21</v>
      </c>
      <c r="G10" s="120" t="s">
        <v>19</v>
      </c>
      <c r="H10" s="119">
        <f>VLOOKUP(Table2[[#This Row],[Product]],'Making cost '!$D$2:$O$31,12,FALSE)</f>
        <v>21.3125</v>
      </c>
      <c r="J10" s="16" t="s">
        <v>181</v>
      </c>
      <c r="K10" s="27">
        <v>160</v>
      </c>
      <c r="L10" s="26">
        <v>13</v>
      </c>
      <c r="M10" s="58">
        <f t="shared" ref="M10:M11" si="0">K10*L10</f>
        <v>2080</v>
      </c>
    </row>
    <row r="11" spans="1:15" ht="31.5" customHeight="1">
      <c r="A11" s="72" t="s">
        <v>39</v>
      </c>
      <c r="B11" s="89">
        <f>SUMIF(Easter[Product Name],'Production Sheet'!A11,Easter[[Quantity ]])</f>
        <v>140</v>
      </c>
      <c r="C11" s="19">
        <f>H11*B11</f>
        <v>1570.5277777777776</v>
      </c>
      <c r="D11" s="19">
        <f>(C11)*0.12</f>
        <v>188.46333333333331</v>
      </c>
      <c r="E11" s="20">
        <f>C11+D11</f>
        <v>1758.991111111111</v>
      </c>
      <c r="G11" s="120" t="s">
        <v>39</v>
      </c>
      <c r="H11" s="119">
        <f>VLOOKUP(Table2[[#This Row],[Product]],'Making cost '!$D$2:$O$31,12,FALSE)</f>
        <v>11.218055555555555</v>
      </c>
      <c r="J11" s="16" t="s">
        <v>182</v>
      </c>
      <c r="K11" s="27">
        <v>170</v>
      </c>
      <c r="L11" s="26">
        <v>3</v>
      </c>
      <c r="M11" s="58">
        <f t="shared" si="0"/>
        <v>510</v>
      </c>
    </row>
    <row r="12" spans="1:15" ht="31.5" customHeight="1">
      <c r="A12" s="72" t="s">
        <v>55</v>
      </c>
      <c r="B12" s="89">
        <f>SUMIF(Easter[Product Name],'Production Sheet'!A12,Easter[[Quantity ]])</f>
        <v>20</v>
      </c>
      <c r="C12" s="19">
        <f>H12*B12</f>
        <v>1162.9166666666667</v>
      </c>
      <c r="D12" s="19">
        <f>(C12)*0.12</f>
        <v>139.55000000000001</v>
      </c>
      <c r="E12" s="20">
        <f>C12+D12</f>
        <v>1302.4666666666667</v>
      </c>
      <c r="G12" s="120" t="s">
        <v>55</v>
      </c>
      <c r="H12" s="119">
        <f>VLOOKUP(Table2[[#This Row],[Product]],'Making cost '!$D$2:$O$31,12,FALSE)</f>
        <v>58.145833333333336</v>
      </c>
      <c r="J12" s="198" t="s">
        <v>179</v>
      </c>
      <c r="K12" s="199"/>
      <c r="L12" s="28">
        <f>SUM(L9:L11)</f>
        <v>29</v>
      </c>
      <c r="M12" s="59">
        <f>SUM(M9:M11)</f>
        <v>4540</v>
      </c>
    </row>
    <row r="13" spans="1:15" ht="31.5" customHeight="1">
      <c r="A13" s="72" t="s">
        <v>30</v>
      </c>
      <c r="B13" s="89">
        <f>SUMIF(Easter[Product Name],'Production Sheet'!A13,Easter[[Quantity ]])</f>
        <v>42</v>
      </c>
      <c r="C13" s="19">
        <f>H13*B13</f>
        <v>930.12500000000011</v>
      </c>
      <c r="D13" s="19">
        <f>(C13)*0.12</f>
        <v>111.61500000000001</v>
      </c>
      <c r="E13" s="20">
        <f>C13+D13</f>
        <v>1041.7400000000002</v>
      </c>
      <c r="G13" s="120" t="s">
        <v>30</v>
      </c>
      <c r="H13" s="119">
        <f>VLOOKUP(Table2[[#This Row],[Product]],'Making cost '!$D$2:$O$31,12,FALSE)</f>
        <v>22.145833333333336</v>
      </c>
      <c r="L13" s="63"/>
      <c r="M13" s="29"/>
    </row>
    <row r="14" spans="1:15" ht="31.5" customHeight="1">
      <c r="A14" s="72" t="s">
        <v>33</v>
      </c>
      <c r="B14" s="89">
        <f>SUMIF(Easter[Product Name],'Production Sheet'!A14,Easter[[Quantity ]])</f>
        <v>31</v>
      </c>
      <c r="C14" s="19">
        <f>H14*B14</f>
        <v>359.24120370370366</v>
      </c>
      <c r="D14" s="19">
        <f>(C14)*0.12</f>
        <v>43.10894444444444</v>
      </c>
      <c r="E14" s="20">
        <f>C14+D14</f>
        <v>402.35014814814809</v>
      </c>
      <c r="G14" s="120" t="s">
        <v>33</v>
      </c>
      <c r="H14" s="119">
        <f>VLOOKUP(Table2[[#This Row],[Product]],'Making cost '!$D$2:$O$31,12,FALSE)</f>
        <v>11.588425925925925</v>
      </c>
      <c r="J14" s="197" t="s">
        <v>183</v>
      </c>
      <c r="K14" s="197"/>
      <c r="L14" s="197"/>
      <c r="M14" s="197"/>
      <c r="N14" s="197"/>
      <c r="O14" s="197"/>
    </row>
    <row r="15" spans="1:15" ht="31.5" customHeight="1">
      <c r="A15" s="72" t="s">
        <v>27</v>
      </c>
      <c r="B15" s="89">
        <f>SUMIF(Easter[Product Name],'Production Sheet'!A15,Easter[[Quantity ]])</f>
        <v>62</v>
      </c>
      <c r="C15" s="19">
        <f>H15*B15</f>
        <v>1393.7083333333333</v>
      </c>
      <c r="D15" s="19">
        <f>(C15)*0.12</f>
        <v>167.24499999999998</v>
      </c>
      <c r="E15" s="20">
        <f>C15+D15</f>
        <v>1560.9533333333331</v>
      </c>
      <c r="G15" s="120" t="s">
        <v>27</v>
      </c>
      <c r="H15" s="119">
        <f>VLOOKUP(Table2[[#This Row],[Product]],'Making cost '!$D$2:$O$31,12,FALSE)</f>
        <v>22.479166666666664</v>
      </c>
      <c r="J15" s="78" t="s">
        <v>176</v>
      </c>
      <c r="K15" s="17" t="s">
        <v>184</v>
      </c>
      <c r="L15" s="17" t="s">
        <v>185</v>
      </c>
      <c r="M15" s="124" t="s">
        <v>186</v>
      </c>
      <c r="N15" s="81" t="s">
        <v>187</v>
      </c>
      <c r="O15" s="80" t="s">
        <v>188</v>
      </c>
    </row>
    <row r="16" spans="1:15" ht="31.5" customHeight="1">
      <c r="A16" s="72" t="s">
        <v>42</v>
      </c>
      <c r="B16" s="89">
        <f>SUMIF(Easter[Product Name],'Production Sheet'!A16,Easter[[Quantity ]])</f>
        <v>32</v>
      </c>
      <c r="C16" s="19">
        <f>H16*B16</f>
        <v>366.68148148148146</v>
      </c>
      <c r="D16" s="19">
        <f>(C16)*0.12</f>
        <v>44.001777777777775</v>
      </c>
      <c r="E16" s="20">
        <f>C16+D16</f>
        <v>410.68325925925922</v>
      </c>
      <c r="G16" s="120" t="s">
        <v>42</v>
      </c>
      <c r="H16" s="119">
        <f>VLOOKUP(Table2[[#This Row],[Product]],'Making cost '!$D$2:$O$31,12,FALSE)</f>
        <v>11.458796296296295</v>
      </c>
      <c r="J16" s="84" t="s">
        <v>180</v>
      </c>
      <c r="K16" s="125" t="s">
        <v>189</v>
      </c>
      <c r="L16" s="126">
        <v>27</v>
      </c>
      <c r="M16" s="145">
        <f>N16/L16</f>
        <v>10.777777777777779</v>
      </c>
      <c r="N16" s="82">
        <f>SUMIFS('Lookup sheet'!$E$2:$E$31,'Lookup sheet'!$B$2:$B$31,'Production Sheet'!K16,'Lookup sheet'!$C$2:$C$31,'Production Sheet'!J16)</f>
        <v>291</v>
      </c>
      <c r="O16" s="83">
        <f>M16*$K$9</f>
        <v>1616.6666666666667</v>
      </c>
    </row>
    <row r="17" spans="1:15" ht="31.5" customHeight="1">
      <c r="A17" s="72" t="s">
        <v>64</v>
      </c>
      <c r="B17" s="89">
        <f>SUMIF(Easter[Product Name],'Production Sheet'!A17,Easter[[Quantity ]])</f>
        <v>3</v>
      </c>
      <c r="C17" s="19">
        <f>H17*B17</f>
        <v>155.4375</v>
      </c>
      <c r="D17" s="19">
        <f>(C17)*0.12</f>
        <v>18.6525</v>
      </c>
      <c r="E17" s="20">
        <f>C17+D17</f>
        <v>174.09</v>
      </c>
      <c r="G17" s="120" t="s">
        <v>64</v>
      </c>
      <c r="H17" s="119">
        <f>VLOOKUP(Table2[[#This Row],[Product]],'Making cost '!$D$2:$O$31,12,FALSE)</f>
        <v>51.8125</v>
      </c>
      <c r="J17" s="84" t="s">
        <v>180</v>
      </c>
      <c r="K17" s="72" t="s">
        <v>190</v>
      </c>
      <c r="L17" s="79">
        <v>12</v>
      </c>
      <c r="M17" s="145">
        <f t="shared" ref="M17:M28" si="1">N17/L17</f>
        <v>18.083333333333332</v>
      </c>
      <c r="N17" s="82">
        <f>SUMIFS('Lookup sheet'!$E$2:$E$31,'Lookup sheet'!$B$2:$B$31,'Production Sheet'!K17,'Lookup sheet'!$C$2:$C$31,'Production Sheet'!J17)</f>
        <v>217</v>
      </c>
      <c r="O17" s="83">
        <f t="shared" ref="O17:O27" si="2">M17*$K$9</f>
        <v>2712.5</v>
      </c>
    </row>
    <row r="18" spans="1:15" ht="31.5" customHeight="1">
      <c r="A18" s="72" t="s">
        <v>56</v>
      </c>
      <c r="B18" s="89">
        <f>SUMIF(Easter[Product Name],'Production Sheet'!A18,Easter[[Quantity ]])</f>
        <v>107</v>
      </c>
      <c r="C18" s="19">
        <f>H18*B18</f>
        <v>5900.604166666667</v>
      </c>
      <c r="D18" s="19">
        <f>(C18)*0.12</f>
        <v>708.07249999999999</v>
      </c>
      <c r="E18" s="20">
        <f>C18+D18</f>
        <v>6608.6766666666672</v>
      </c>
      <c r="G18" s="120" t="s">
        <v>56</v>
      </c>
      <c r="H18" s="119">
        <f>VLOOKUP(Table2[[#This Row],[Product]],'Making cost '!$D$2:$O$31,12,FALSE)</f>
        <v>55.145833333333336</v>
      </c>
      <c r="J18" s="84" t="s">
        <v>180</v>
      </c>
      <c r="K18" s="72" t="s">
        <v>191</v>
      </c>
      <c r="L18" s="79">
        <v>3</v>
      </c>
      <c r="M18" s="145">
        <f t="shared" si="1"/>
        <v>12</v>
      </c>
      <c r="N18" s="82">
        <f>SUMIFS('Lookup sheet'!$E$2:$E$31,'Lookup sheet'!$B$2:$B$31,'Production Sheet'!K18,'Lookup sheet'!$C$2:$C$31,'Production Sheet'!J18)</f>
        <v>36</v>
      </c>
      <c r="O18" s="83">
        <f t="shared" si="2"/>
        <v>1800</v>
      </c>
    </row>
    <row r="19" spans="1:15" ht="31.5" customHeight="1">
      <c r="A19" s="72" t="s">
        <v>65</v>
      </c>
      <c r="B19" s="89">
        <f>SUMIF(Easter[Product Name],'Production Sheet'!A19,Easter[[Quantity ]])</f>
        <v>2</v>
      </c>
      <c r="C19" s="19">
        <f>H19*B19</f>
        <v>116.95833333333333</v>
      </c>
      <c r="D19" s="19">
        <f>(C19)*0.12</f>
        <v>14.034999999999998</v>
      </c>
      <c r="E19" s="20">
        <f>C19+D19</f>
        <v>130.99333333333334</v>
      </c>
      <c r="G19" s="72" t="s">
        <v>65</v>
      </c>
      <c r="H19" s="119">
        <f>VLOOKUP(Table2[[#This Row],[Product]],'Making cost '!$D$2:$O$31,12,FALSE)</f>
        <v>58.479166666666664</v>
      </c>
      <c r="J19" s="84" t="s">
        <v>181</v>
      </c>
      <c r="K19" s="72" t="s">
        <v>189</v>
      </c>
      <c r="L19" s="79">
        <v>27</v>
      </c>
      <c r="M19" s="145">
        <f t="shared" si="1"/>
        <v>5.8888888888888893</v>
      </c>
      <c r="N19" s="82">
        <f>SUMIFS('Lookup sheet'!$E$2:$E$31,'Lookup sheet'!$B$2:$B$31,'Production Sheet'!K19,'Lookup sheet'!$C$2:$C$31,'Production Sheet'!J19)</f>
        <v>159</v>
      </c>
      <c r="O19" s="83">
        <f>M19*$K$10</f>
        <v>942.22222222222229</v>
      </c>
    </row>
    <row r="20" spans="1:15" ht="31.5" customHeight="1">
      <c r="A20" s="72" t="s">
        <v>57</v>
      </c>
      <c r="B20" s="89">
        <f>SUMIF(Easter[Product Name],'Production Sheet'!A20,Easter[[Quantity ]])</f>
        <v>21</v>
      </c>
      <c r="C20" s="19">
        <f>H20*B20</f>
        <v>104.1375</v>
      </c>
      <c r="D20" s="19">
        <f>(C20)*0.12</f>
        <v>12.496499999999999</v>
      </c>
      <c r="E20" s="20">
        <f>C20+D20</f>
        <v>116.634</v>
      </c>
      <c r="G20" s="120" t="s">
        <v>57</v>
      </c>
      <c r="H20" s="119">
        <f>VLOOKUP(Table2[[#This Row],[Product]],'Making cost '!$D$2:$O$31,12,FALSE)</f>
        <v>4.9589285714285714</v>
      </c>
      <c r="J20" s="84" t="s">
        <v>181</v>
      </c>
      <c r="K20" s="72" t="s">
        <v>190</v>
      </c>
      <c r="L20" s="79">
        <v>12</v>
      </c>
      <c r="M20" s="145">
        <f t="shared" si="1"/>
        <v>13.416666666666666</v>
      </c>
      <c r="N20" s="82">
        <f>SUMIFS('Lookup sheet'!$E$2:$E$31,'Lookup sheet'!$B$2:$B$31,'Production Sheet'!K20,'Lookup sheet'!$C$2:$C$31,'Production Sheet'!J20)</f>
        <v>161</v>
      </c>
      <c r="O20" s="83">
        <f t="shared" ref="O20:O27" si="3">M20*$K$10</f>
        <v>2146.6666666666665</v>
      </c>
    </row>
    <row r="21" spans="1:15" ht="31.5" customHeight="1">
      <c r="A21" s="72" t="s">
        <v>24</v>
      </c>
      <c r="B21" s="89">
        <f>SUMIF(Easter[Product Name],'Production Sheet'!A21,Easter[[Quantity ]])</f>
        <v>30</v>
      </c>
      <c r="C21" s="19">
        <f>H21*B21</f>
        <v>155.91071428571428</v>
      </c>
      <c r="D21" s="19">
        <f>(C21)*0.12</f>
        <v>18.709285714285713</v>
      </c>
      <c r="E21" s="20">
        <f>C21+D21</f>
        <v>174.62</v>
      </c>
      <c r="G21" s="120" t="s">
        <v>24</v>
      </c>
      <c r="H21" s="119">
        <f>VLOOKUP(Table2[[#This Row],[Product]],'Making cost '!$D$2:$O$31,12,FALSE)</f>
        <v>5.1970238095238095</v>
      </c>
      <c r="J21" s="84" t="s">
        <v>181</v>
      </c>
      <c r="K21" s="72" t="s">
        <v>191</v>
      </c>
      <c r="L21" s="79">
        <v>3</v>
      </c>
      <c r="M21" s="145">
        <f t="shared" si="1"/>
        <v>48.333333333333336</v>
      </c>
      <c r="N21" s="82">
        <f>SUMIFS('Lookup sheet'!$E$2:$E$31,'Lookup sheet'!$B$2:$B$31,'Production Sheet'!K21,'Lookup sheet'!$C$2:$C$31,'Production Sheet'!J21)</f>
        <v>145</v>
      </c>
      <c r="O21" s="83">
        <f t="shared" si="3"/>
        <v>7733.3333333333339</v>
      </c>
    </row>
    <row r="22" spans="1:15" ht="31.5" customHeight="1">
      <c r="A22" s="72" t="s">
        <v>58</v>
      </c>
      <c r="B22" s="89">
        <f>SUMIF(Easter[Product Name],'Production Sheet'!A22,Easter[[Quantity ]])</f>
        <v>12</v>
      </c>
      <c r="C22" s="19">
        <f>H22*B22</f>
        <v>716.15</v>
      </c>
      <c r="D22" s="19">
        <f>(C22)*0.12</f>
        <v>85.937999999999988</v>
      </c>
      <c r="E22" s="20">
        <f>C22+D22</f>
        <v>802.08799999999997</v>
      </c>
      <c r="G22" s="120" t="s">
        <v>58</v>
      </c>
      <c r="H22" s="119">
        <f>VLOOKUP(Table2[[#This Row],[Product]],'Making cost '!$D$2:$O$31,12,FALSE)</f>
        <v>59.679166666666667</v>
      </c>
      <c r="J22" s="84" t="s">
        <v>182</v>
      </c>
      <c r="K22" s="72" t="s">
        <v>189</v>
      </c>
      <c r="L22" s="79">
        <v>27</v>
      </c>
      <c r="M22" s="145">
        <f t="shared" si="1"/>
        <v>4.7037037037037033</v>
      </c>
      <c r="N22" s="82">
        <f>SUMIFS('Lookup sheet'!$E$2:$E$31,'Lookup sheet'!$B$2:$B$31,'Production Sheet'!K22,'Lookup sheet'!$C$2:$C$31,'Production Sheet'!J22)</f>
        <v>127</v>
      </c>
      <c r="O22" s="83">
        <f>M22*$K$11</f>
        <v>799.62962962962956</v>
      </c>
    </row>
    <row r="23" spans="1:15" ht="31.5" customHeight="1">
      <c r="A23" s="72" t="s">
        <v>28</v>
      </c>
      <c r="B23" s="89">
        <f>SUMIF(Easter[Product Name],'Production Sheet'!A23,Easter[[Quantity ]])</f>
        <v>83</v>
      </c>
      <c r="C23" s="19">
        <f>H23*B23</f>
        <v>1757.8708333333332</v>
      </c>
      <c r="D23" s="19">
        <f>(C23)*0.12</f>
        <v>210.94449999999998</v>
      </c>
      <c r="E23" s="20">
        <f>C23+D23</f>
        <v>1968.8153333333332</v>
      </c>
      <c r="G23" s="120" t="s">
        <v>28</v>
      </c>
      <c r="H23" s="119">
        <f>VLOOKUP(Table2[[#This Row],[Product]],'Making cost '!$D$2:$O$31,12,FALSE)</f>
        <v>21.179166666666664</v>
      </c>
      <c r="J23" s="84" t="s">
        <v>182</v>
      </c>
      <c r="K23" s="72" t="s">
        <v>190</v>
      </c>
      <c r="L23" s="79">
        <v>12</v>
      </c>
      <c r="M23" s="145">
        <f t="shared" si="1"/>
        <v>12.916666666666666</v>
      </c>
      <c r="N23" s="82">
        <f>SUMIFS('Lookup sheet'!$E$2:$E$31,'Lookup sheet'!$B$2:$B$31,'Production Sheet'!K23,'Lookup sheet'!$C$2:$C$31,'Production Sheet'!J23)</f>
        <v>155</v>
      </c>
      <c r="O23" s="83">
        <f t="shared" ref="O23:O27" si="4">M23*$K$11</f>
        <v>2195.833333333333</v>
      </c>
    </row>
    <row r="24" spans="1:15" ht="31.5" customHeight="1">
      <c r="A24" s="72" t="s">
        <v>40</v>
      </c>
      <c r="B24" s="89">
        <f>SUMIF(Easter[Product Name],'Production Sheet'!A24,Easter[[Quantity ]])</f>
        <v>89</v>
      </c>
      <c r="C24" s="19">
        <f>H24*B24</f>
        <v>904.13287037037026</v>
      </c>
      <c r="D24" s="19">
        <f>(C24)*0.12</f>
        <v>108.49594444444443</v>
      </c>
      <c r="E24" s="20">
        <f>C24+D24</f>
        <v>1012.6288148148146</v>
      </c>
      <c r="G24" s="120" t="s">
        <v>40</v>
      </c>
      <c r="H24" s="119">
        <f>VLOOKUP(Table2[[#This Row],[Product]],'Making cost '!$D$2:$O$31,12,FALSE)</f>
        <v>10.158796296296295</v>
      </c>
      <c r="J24" s="85" t="s">
        <v>182</v>
      </c>
      <c r="K24" s="86" t="s">
        <v>191</v>
      </c>
      <c r="L24" s="79">
        <v>3</v>
      </c>
      <c r="M24" s="145">
        <f t="shared" si="1"/>
        <v>4.666666666666667</v>
      </c>
      <c r="N24" s="82">
        <f>SUMIFS('Lookup sheet'!$E$2:$E$31,'Lookup sheet'!$B$2:$B$31,'Production Sheet'!K24,'Lookup sheet'!$C$2:$C$31,'Production Sheet'!J24)</f>
        <v>14</v>
      </c>
      <c r="O24" s="83">
        <f t="shared" si="4"/>
        <v>793.33333333333337</v>
      </c>
    </row>
    <row r="25" spans="1:15" ht="31.5" customHeight="1">
      <c r="A25" s="72" t="s">
        <v>35</v>
      </c>
      <c r="B25" s="89">
        <f>SUMIF(Easter[Product Name],'Production Sheet'!A25,Easter[[Quantity ]])</f>
        <v>79</v>
      </c>
      <c r="C25" s="37">
        <f>H25*B25</f>
        <v>3931.2375000000002</v>
      </c>
      <c r="D25" s="37">
        <f>(C25)*0.12</f>
        <v>471.74849999999998</v>
      </c>
      <c r="E25" s="20">
        <f>C25+D25</f>
        <v>4402.9859999999999</v>
      </c>
      <c r="G25" s="120" t="s">
        <v>35</v>
      </c>
      <c r="H25" s="119">
        <f>VLOOKUP(Table2[[#This Row],[Product]],'Making cost '!$D$2:$O$31,12,FALSE)</f>
        <v>49.762500000000003</v>
      </c>
      <c r="J25" s="87" t="s">
        <v>181</v>
      </c>
      <c r="K25" s="87" t="s">
        <v>37</v>
      </c>
      <c r="L25" s="79">
        <v>6</v>
      </c>
      <c r="M25" s="145">
        <f t="shared" si="1"/>
        <v>8.6666666666666661</v>
      </c>
      <c r="N25" s="88">
        <f>SUMIF(Easter[Product Name],'Production Sheet'!K25,Easter[[Quantity ]])</f>
        <v>52</v>
      </c>
      <c r="O25" s="83">
        <f>M25*$K$10</f>
        <v>1386.6666666666665</v>
      </c>
    </row>
    <row r="26" spans="1:15" ht="31.5" customHeight="1">
      <c r="A26" s="72" t="s">
        <v>59</v>
      </c>
      <c r="B26" s="89">
        <f>SUMIF(Easter[Product Name],'Production Sheet'!A26,Easter[[Quantity ]])</f>
        <v>18</v>
      </c>
      <c r="C26" s="37">
        <f>H26*B26</f>
        <v>1019.625</v>
      </c>
      <c r="D26" s="37">
        <f>(C26)*0.12</f>
        <v>122.35499999999999</v>
      </c>
      <c r="E26" s="20">
        <f>C26+D26</f>
        <v>1141.98</v>
      </c>
      <c r="G26" s="120" t="s">
        <v>59</v>
      </c>
      <c r="H26" s="119">
        <f>VLOOKUP(Table2[[#This Row],[Product]],'Making cost '!$D$2:$O$31,12,FALSE)</f>
        <v>56.645833333333336</v>
      </c>
      <c r="J26" s="87" t="s">
        <v>181</v>
      </c>
      <c r="K26" s="87" t="s">
        <v>24</v>
      </c>
      <c r="L26" s="79">
        <v>42</v>
      </c>
      <c r="M26" s="145">
        <f t="shared" si="1"/>
        <v>0.7142857142857143</v>
      </c>
      <c r="N26" s="88">
        <f>SUMIF(Easter[Product Name],'Production Sheet'!K26,Easter[[Quantity ]])</f>
        <v>30</v>
      </c>
      <c r="O26" s="83">
        <f>M26*$K$10</f>
        <v>114.28571428571429</v>
      </c>
    </row>
    <row r="27" spans="1:15" ht="31.5" customHeight="1">
      <c r="A27" s="72" t="s">
        <v>31</v>
      </c>
      <c r="B27" s="89">
        <f>SUMIF(Easter[Product Name],'Production Sheet'!A27,Easter[[Quantity ]])</f>
        <v>81</v>
      </c>
      <c r="C27" s="37">
        <f>H27*B27</f>
        <v>1672.3125000000002</v>
      </c>
      <c r="D27" s="37">
        <f>(C27)*0.12</f>
        <v>200.67750000000001</v>
      </c>
      <c r="E27" s="20">
        <f>C27+D27</f>
        <v>1872.9900000000002</v>
      </c>
      <c r="G27" s="120" t="s">
        <v>31</v>
      </c>
      <c r="H27" s="119">
        <f>VLOOKUP(Table2[[#This Row],[Product]],'Making cost '!$D$2:$O$31,12,FALSE)</f>
        <v>20.645833333333336</v>
      </c>
      <c r="J27" s="90" t="s">
        <v>180</v>
      </c>
      <c r="K27" s="90" t="s">
        <v>57</v>
      </c>
      <c r="L27" s="91">
        <v>42</v>
      </c>
      <c r="M27" s="145">
        <f t="shared" si="1"/>
        <v>0.5</v>
      </c>
      <c r="N27" s="92">
        <f>SUMIF(Easter[Product Name],'Production Sheet'!K27,Easter[[Quantity ]])</f>
        <v>21</v>
      </c>
      <c r="O27" s="94">
        <f>M27*$K$9</f>
        <v>75</v>
      </c>
    </row>
    <row r="28" spans="1:15" ht="31.5" customHeight="1">
      <c r="A28" s="72" t="s">
        <v>43</v>
      </c>
      <c r="B28" s="89">
        <f>SUMIF(Easter[Product Name],'Production Sheet'!A28,Easter[[Quantity ]])</f>
        <v>101</v>
      </c>
      <c r="C28" s="37">
        <f>H28*B28</f>
        <v>1018.9310185185185</v>
      </c>
      <c r="D28" s="37">
        <f>(C28)*0.12</f>
        <v>122.27172222222221</v>
      </c>
      <c r="E28" s="20">
        <f>C28+D28</f>
        <v>1141.2027407407406</v>
      </c>
      <c r="G28" s="120" t="s">
        <v>43</v>
      </c>
      <c r="H28" s="119">
        <f>VLOOKUP(Table2[[#This Row],[Product]],'Making cost '!$D$2:$O$31,12,FALSE)</f>
        <v>10.088425925925925</v>
      </c>
      <c r="J28" s="72" t="s">
        <v>181</v>
      </c>
      <c r="K28" s="97" t="s">
        <v>35</v>
      </c>
      <c r="L28" s="91">
        <v>5</v>
      </c>
      <c r="M28" s="145">
        <f t="shared" si="1"/>
        <v>15.8</v>
      </c>
      <c r="N28" s="93">
        <f>SUMIF(Easter[Product Name],'Production Sheet'!K28,Easter[[Quantity ]])</f>
        <v>79</v>
      </c>
      <c r="O28" s="83">
        <f>M28*$K$10</f>
        <v>2528</v>
      </c>
    </row>
    <row r="29" spans="1:15" ht="31.5" customHeight="1">
      <c r="A29" s="72" t="s">
        <v>37</v>
      </c>
      <c r="B29" s="89">
        <f>SUMIF(Easter[Product Name],'Production Sheet'!A29,Easter[[Quantity ]])</f>
        <v>52</v>
      </c>
      <c r="C29" s="37">
        <f>H29*B29</f>
        <v>1558.9166666666667</v>
      </c>
      <c r="D29" s="37">
        <f>(C29)*0.12</f>
        <v>187.07</v>
      </c>
      <c r="E29" s="20">
        <f>C29+D29</f>
        <v>1745.9866666666667</v>
      </c>
      <c r="G29" s="120" t="s">
        <v>37</v>
      </c>
      <c r="H29" s="119">
        <f>VLOOKUP(Table2[[#This Row],[Product]],'Making cost '!$D$2:$O$31,12,FALSE)</f>
        <v>29.979166666666668</v>
      </c>
      <c r="J29" s="196" t="s">
        <v>179</v>
      </c>
      <c r="K29" s="196"/>
      <c r="L29" s="196"/>
      <c r="M29" s="146">
        <f>SUM(M16:M27)</f>
        <v>140.66798941798942</v>
      </c>
      <c r="N29" s="95">
        <f>SUM(N16:N28)</f>
        <v>1487</v>
      </c>
      <c r="O29" s="96">
        <f>SUM(O16:O27)</f>
        <v>22316.137566137564</v>
      </c>
    </row>
    <row r="30" spans="1:15" ht="31.5" customHeight="1">
      <c r="A30" s="72" t="s">
        <v>92</v>
      </c>
      <c r="B30" s="89">
        <f>SUMIF(Easter[Product Name],'Production Sheet'!A30,Easter[[Quantity ]])</f>
        <v>44</v>
      </c>
      <c r="C30" s="37">
        <f>H30*B30</f>
        <v>805.75</v>
      </c>
      <c r="D30" s="37">
        <f>(C30)*0.12</f>
        <v>96.69</v>
      </c>
      <c r="E30" s="20">
        <f>C30+D30</f>
        <v>902.44</v>
      </c>
      <c r="G30" s="65" t="s">
        <v>92</v>
      </c>
      <c r="H30" s="119">
        <f>VLOOKUP(Table2[[#This Row],[Product]],'Making cost '!$D$2:$O$31,12,FALSE)</f>
        <v>18.3125</v>
      </c>
      <c r="L30" s="63"/>
      <c r="N30" s="170" t="s">
        <v>192</v>
      </c>
    </row>
    <row r="31" spans="1:15" ht="31.5" customHeight="1">
      <c r="A31" s="72" t="s">
        <v>51</v>
      </c>
      <c r="B31" s="89">
        <f>SUMIF(Easter[Product Name],'Production Sheet'!A31,Easter[[Quantity ]])</f>
        <v>60</v>
      </c>
      <c r="C31" s="37">
        <f>H31*B31</f>
        <v>493.08333333333331</v>
      </c>
      <c r="D31" s="37">
        <f>(C31)*0.12</f>
        <v>59.169999999999995</v>
      </c>
      <c r="E31" s="20">
        <f>C31+D31</f>
        <v>552.25333333333333</v>
      </c>
      <c r="G31" s="120" t="s">
        <v>51</v>
      </c>
      <c r="H31" s="119">
        <f>VLOOKUP(Table2[[#This Row],[Product]],'Making cost '!$D$2:$O$31,12,FALSE)</f>
        <v>8.218055555555555</v>
      </c>
      <c r="L31" s="63"/>
    </row>
    <row r="32" spans="1:15" ht="31.5" customHeight="1">
      <c r="A32" s="72" t="s">
        <v>75</v>
      </c>
      <c r="B32" s="89">
        <f>SUMIF(Easter[Product Name],'Production Sheet'!A32,Easter[[Quantity ]])</f>
        <v>38</v>
      </c>
      <c r="C32" s="37">
        <f>H32*B32</f>
        <v>727.54166666666674</v>
      </c>
      <c r="D32" s="37">
        <f>(C32)*0.12</f>
        <v>87.305000000000007</v>
      </c>
      <c r="E32" s="20">
        <f>C32+D32</f>
        <v>814.84666666666681</v>
      </c>
      <c r="G32" s="120" t="s">
        <v>75</v>
      </c>
      <c r="H32" s="119">
        <f>VLOOKUP(Table2[[#This Row],[Product]],'Making cost '!$D$2:$O$31,12,FALSE)</f>
        <v>19.145833333333336</v>
      </c>
      <c r="L32" s="63"/>
    </row>
    <row r="33" spans="1:12" ht="31.5" customHeight="1">
      <c r="A33" s="72" t="s">
        <v>47</v>
      </c>
      <c r="B33" s="89">
        <f>SUMIF(Easter[Product Name],'Production Sheet'!A33,Easter[[Quantity ]])</f>
        <v>27</v>
      </c>
      <c r="C33" s="37">
        <f>H33*B33</f>
        <v>231.88749999999999</v>
      </c>
      <c r="D33" s="37">
        <f>(C33)*0.12</f>
        <v>27.826499999999999</v>
      </c>
      <c r="E33" s="20">
        <f>C33+D33</f>
        <v>259.714</v>
      </c>
      <c r="G33" s="120" t="s">
        <v>47</v>
      </c>
      <c r="H33" s="119">
        <f>VLOOKUP(Table2[[#This Row],[Product]],'Making cost '!$D$2:$O$31,12,FALSE)</f>
        <v>8.5884259259259252</v>
      </c>
      <c r="L33" s="63"/>
    </row>
    <row r="34" spans="1:12" ht="31.5" customHeight="1">
      <c r="A34" s="72" t="s">
        <v>52</v>
      </c>
      <c r="B34" s="89">
        <f>SUMIF(Easter[Product Name],'Production Sheet'!A34,Easter[[Quantity ]])</f>
        <v>6</v>
      </c>
      <c r="C34" s="37">
        <f>H34*B34</f>
        <v>53.752777777777773</v>
      </c>
      <c r="D34" s="37">
        <f>(C34)*0.12</f>
        <v>6.4503333333333321</v>
      </c>
      <c r="E34" s="20">
        <f>C34+D34</f>
        <v>60.203111111111106</v>
      </c>
      <c r="G34" s="120" t="s">
        <v>52</v>
      </c>
      <c r="H34" s="119">
        <f>VLOOKUP(Table2[[#This Row],[Product]],'Making cost '!$D$2:$O$31,12,FALSE)</f>
        <v>8.9587962962962955</v>
      </c>
      <c r="L34" s="63"/>
    </row>
    <row r="35" spans="1:12" ht="31.5" customHeight="1">
      <c r="A35" s="72" t="s">
        <v>60</v>
      </c>
      <c r="B35" s="89">
        <f>SUMIF(Easter[Product Name],'Production Sheet'!A35,Easter[[Quantity ]])</f>
        <v>30</v>
      </c>
      <c r="C35" s="37">
        <f>H35*B35</f>
        <v>1644.375</v>
      </c>
      <c r="D35" s="37">
        <f>(C35)*0.12</f>
        <v>197.32499999999999</v>
      </c>
      <c r="E35" s="20">
        <f>C35+D35</f>
        <v>1841.7</v>
      </c>
      <c r="G35" s="121" t="s">
        <v>60</v>
      </c>
      <c r="H35" s="119">
        <f>VLOOKUP(Table2[[#This Row],[Product]],'Making cost '!$D$2:$O$31,12,FALSE)</f>
        <v>54.8125</v>
      </c>
      <c r="L35" s="63"/>
    </row>
    <row r="36" spans="1:12" ht="31.5" customHeight="1">
      <c r="A36" s="72" t="s">
        <v>25</v>
      </c>
      <c r="B36" s="89">
        <f>SUMIF(Easter[Product Name],'Production Sheet'!A36,Easter[[Quantity ]])</f>
        <v>90</v>
      </c>
      <c r="C36" s="37">
        <f>H36*B36</f>
        <v>1783.125</v>
      </c>
      <c r="D36" s="37">
        <f>(C36)*0.12</f>
        <v>213.97499999999999</v>
      </c>
      <c r="E36" s="20">
        <f>C36+D36</f>
        <v>1997.1</v>
      </c>
      <c r="G36" s="121" t="s">
        <v>25</v>
      </c>
      <c r="H36" s="119">
        <f>VLOOKUP(Table2[[#This Row],[Product]],'Making cost '!$D$2:$O$31,12,FALSE)</f>
        <v>19.8125</v>
      </c>
      <c r="L36" s="63"/>
    </row>
    <row r="37" spans="1:12" ht="31.5" customHeight="1">
      <c r="A37" s="72" t="s">
        <v>62</v>
      </c>
      <c r="B37" s="89">
        <f>SUMIF(Easter[Product Name],'Production Sheet'!A37,Easter[[Quantity ]])</f>
        <v>91</v>
      </c>
      <c r="C37" s="37">
        <f>H37*B37</f>
        <v>884.34305555555545</v>
      </c>
      <c r="D37" s="37">
        <f>(C37)*0.12</f>
        <v>106.12116666666665</v>
      </c>
      <c r="E37" s="20">
        <f>C37+D37</f>
        <v>990.46422222222213</v>
      </c>
      <c r="G37" s="120" t="s">
        <v>62</v>
      </c>
      <c r="H37" s="119">
        <f>VLOOKUP(Table2[[#This Row],[Product]],'Making cost '!$D$2:$O$31,12,FALSE)</f>
        <v>9.718055555555555</v>
      </c>
    </row>
    <row r="38" spans="1:12" ht="31.5" customHeight="1">
      <c r="A38" s="38" t="s">
        <v>179</v>
      </c>
      <c r="B38" s="38">
        <f>SUM(B9:B37)</f>
        <v>1477</v>
      </c>
      <c r="C38" s="61">
        <f>SUM(C9:C37)</f>
        <v>33357.1583994709</v>
      </c>
      <c r="D38" s="39">
        <f>SUM(D9:D37)</f>
        <v>4002.8590079365081</v>
      </c>
      <c r="E38" s="40">
        <f>SUM(E9:E37)</f>
        <v>37360.017407407417</v>
      </c>
    </row>
  </sheetData>
  <autoFilter ref="J8:M11" xr:uid="{225364D6-38AD-402C-B43D-0CF5D7B4AA0C}"/>
  <sortState xmlns:xlrd2="http://schemas.microsoft.com/office/spreadsheetml/2017/richdata2" ref="A9:E37">
    <sortCondition ref="A9:A37"/>
  </sortState>
  <mergeCells count="11">
    <mergeCell ref="J29:L29"/>
    <mergeCell ref="J14:O14"/>
    <mergeCell ref="J12:K12"/>
    <mergeCell ref="A1:G1"/>
    <mergeCell ref="A2:G2"/>
    <mergeCell ref="B3:G3"/>
    <mergeCell ref="B4:G4"/>
    <mergeCell ref="B5:G5"/>
    <mergeCell ref="A7:E7"/>
    <mergeCell ref="G7:H7"/>
    <mergeCell ref="J7:M7"/>
  </mergeCells>
  <dataValidations count="1">
    <dataValidation allowBlank="1" showInputMessage="1" showErrorMessage="1" sqref="K26" xr:uid="{F2159820-8798-43AA-B41D-AAA8F6521CAA}"/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3649-2B77-4950-A134-BC0FCBF3C84B}">
  <sheetPr>
    <tabColor rgb="FF7030A0"/>
  </sheetPr>
  <dimension ref="A1:P38"/>
  <sheetViews>
    <sheetView workbookViewId="0">
      <selection activeCell="B35" sqref="B35"/>
    </sheetView>
  </sheetViews>
  <sheetFormatPr defaultRowHeight="15"/>
  <cols>
    <col min="1" max="1" width="23.7109375" bestFit="1" customWidth="1"/>
    <col min="2" max="2" width="8.42578125" bestFit="1" customWidth="1"/>
    <col min="4" max="4" width="26" bestFit="1" customWidth="1"/>
    <col min="5" max="5" width="16.7109375" bestFit="1" customWidth="1"/>
    <col min="6" max="6" width="11.28515625" bestFit="1" customWidth="1"/>
    <col min="7" max="7" width="13.28515625" bestFit="1" customWidth="1"/>
    <col min="8" max="8" width="13.85546875" bestFit="1" customWidth="1"/>
    <col min="9" max="9" width="15" bestFit="1" customWidth="1"/>
    <col min="10" max="10" width="16.42578125" bestFit="1" customWidth="1"/>
    <col min="11" max="11" width="13.5703125" bestFit="1" customWidth="1"/>
    <col min="12" max="12" width="11.85546875" bestFit="1" customWidth="1"/>
    <col min="13" max="13" width="11.28515625" bestFit="1" customWidth="1"/>
    <col min="14" max="14" width="11.28515625" customWidth="1"/>
    <col min="15" max="15" width="14.140625" bestFit="1" customWidth="1"/>
  </cols>
  <sheetData>
    <row r="1" spans="1:16">
      <c r="A1" s="209" t="s">
        <v>193</v>
      </c>
      <c r="B1" s="209"/>
      <c r="D1" s="44" t="s">
        <v>8</v>
      </c>
      <c r="E1" s="45" t="s">
        <v>194</v>
      </c>
      <c r="F1" s="46" t="s">
        <v>195</v>
      </c>
      <c r="G1" s="47" t="s">
        <v>196</v>
      </c>
      <c r="H1" s="45" t="s">
        <v>197</v>
      </c>
      <c r="I1" s="44" t="s">
        <v>198</v>
      </c>
      <c r="J1" s="44" t="s">
        <v>199</v>
      </c>
      <c r="K1" s="44" t="s">
        <v>200</v>
      </c>
      <c r="L1" s="44" t="s">
        <v>201</v>
      </c>
      <c r="M1" s="45" t="s">
        <v>202</v>
      </c>
      <c r="N1" s="45" t="s">
        <v>203</v>
      </c>
      <c r="O1" s="45" t="s">
        <v>204</v>
      </c>
      <c r="P1" s="80" t="s">
        <v>205</v>
      </c>
    </row>
    <row r="2" spans="1:16">
      <c r="A2" s="35" t="s">
        <v>206</v>
      </c>
      <c r="B2" s="35" t="s">
        <v>207</v>
      </c>
      <c r="D2" s="42" t="s">
        <v>69</v>
      </c>
      <c r="E2" s="49">
        <f>$B$4/$B$8</f>
        <v>50</v>
      </c>
      <c r="F2" s="49">
        <f>$B$25/$B$24</f>
        <v>3</v>
      </c>
      <c r="G2" s="55">
        <v>0</v>
      </c>
      <c r="H2" s="56">
        <f>IFERROR($B$15/$B$17,"0")</f>
        <v>0.3125</v>
      </c>
      <c r="I2" s="50">
        <f>$B$18</f>
        <v>3</v>
      </c>
      <c r="J2" s="54">
        <v>0</v>
      </c>
      <c r="K2" s="54">
        <v>0</v>
      </c>
      <c r="L2" s="54">
        <v>0</v>
      </c>
      <c r="M2" s="55">
        <v>0</v>
      </c>
      <c r="N2" s="55">
        <v>0</v>
      </c>
      <c r="O2" s="106">
        <f>SUM(E2:N2)</f>
        <v>56.3125</v>
      </c>
      <c r="P2" s="117">
        <f>O2/'Lookup sheet'!D2</f>
        <v>0.43317307692307694</v>
      </c>
    </row>
    <row r="3" spans="1:16">
      <c r="A3" s="34" t="s">
        <v>208</v>
      </c>
      <c r="B3" s="73">
        <v>160</v>
      </c>
      <c r="D3" s="41" t="s">
        <v>19</v>
      </c>
      <c r="E3" s="49">
        <f>$B$4/$B$7</f>
        <v>12.5</v>
      </c>
      <c r="F3" s="49">
        <f>$B$10/$B$12</f>
        <v>2</v>
      </c>
      <c r="G3" s="49">
        <f>$B$13/$B$28</f>
        <v>3.5</v>
      </c>
      <c r="H3" s="56">
        <f>IFERROR($B$15/$B$17,"0")</f>
        <v>0.3125</v>
      </c>
      <c r="I3" s="50">
        <f>$B$18</f>
        <v>3</v>
      </c>
      <c r="J3" s="51">
        <v>0</v>
      </c>
      <c r="K3" s="51">
        <v>0</v>
      </c>
      <c r="L3" s="51">
        <v>0</v>
      </c>
      <c r="M3" s="49">
        <v>0</v>
      </c>
      <c r="N3" s="55">
        <v>0</v>
      </c>
      <c r="O3" s="106">
        <f>SUM(E3:N3)</f>
        <v>21.3125</v>
      </c>
      <c r="P3" s="117">
        <f>O3/'Lookup sheet'!D3</f>
        <v>0.35520833333333335</v>
      </c>
    </row>
    <row r="4" spans="1:16">
      <c r="A4" s="34" t="s">
        <v>209</v>
      </c>
      <c r="B4" s="73">
        <v>150</v>
      </c>
      <c r="D4" s="41" t="s">
        <v>39</v>
      </c>
      <c r="E4" s="49">
        <f>$B$4/$B$6</f>
        <v>5.5555555555555554</v>
      </c>
      <c r="F4" s="49">
        <f>$B$10/$B$11</f>
        <v>0.6</v>
      </c>
      <c r="G4" s="49">
        <f>$B$13/$B$27</f>
        <v>1.75</v>
      </c>
      <c r="H4" s="56">
        <f>IFERROR($B$15/$B$17,"0")</f>
        <v>0.3125</v>
      </c>
      <c r="I4" s="50">
        <f>$B$18</f>
        <v>3</v>
      </c>
      <c r="J4" s="51">
        <v>0</v>
      </c>
      <c r="K4" s="51">
        <v>0</v>
      </c>
      <c r="L4" s="51">
        <v>0</v>
      </c>
      <c r="M4" s="49">
        <v>0</v>
      </c>
      <c r="N4" s="55">
        <v>0</v>
      </c>
      <c r="O4" s="106">
        <f>SUM(E4:N4)</f>
        <v>11.218055555555555</v>
      </c>
      <c r="P4" s="117">
        <f>O4/'Lookup sheet'!D4</f>
        <v>0.44872222222222219</v>
      </c>
    </row>
    <row r="5" spans="1:16">
      <c r="A5" s="34" t="s">
        <v>210</v>
      </c>
      <c r="B5" s="73">
        <v>170</v>
      </c>
      <c r="D5" s="41" t="s">
        <v>55</v>
      </c>
      <c r="E5" s="49">
        <f>$B$3/$B$8</f>
        <v>53.333333333333336</v>
      </c>
      <c r="F5" s="49">
        <f>$B$10/$B$26</f>
        <v>1.5</v>
      </c>
      <c r="G5" s="49">
        <v>0</v>
      </c>
      <c r="H5" s="56">
        <f>IFERROR($B$15/$B$17,"0")</f>
        <v>0.3125</v>
      </c>
      <c r="I5" s="50">
        <f>$B$18</f>
        <v>3</v>
      </c>
      <c r="J5" s="51">
        <v>0</v>
      </c>
      <c r="K5" s="51">
        <v>0</v>
      </c>
      <c r="L5" s="51">
        <v>0</v>
      </c>
      <c r="M5" s="49">
        <v>0</v>
      </c>
      <c r="N5" s="55">
        <v>0</v>
      </c>
      <c r="O5" s="106">
        <f>SUM(E5:N5)</f>
        <v>58.145833333333336</v>
      </c>
      <c r="P5" s="117">
        <f>O5/'Lookup sheet'!D5</f>
        <v>0.44727564102564105</v>
      </c>
    </row>
    <row r="6" spans="1:16">
      <c r="A6" s="34" t="s">
        <v>211</v>
      </c>
      <c r="B6" s="73">
        <v>27</v>
      </c>
      <c r="D6" s="41" t="s">
        <v>30</v>
      </c>
      <c r="E6" s="49">
        <f>$B$3/$B$7</f>
        <v>13.333333333333334</v>
      </c>
      <c r="F6" s="49">
        <f>$B$10/$B$12</f>
        <v>2</v>
      </c>
      <c r="G6" s="49">
        <f>$B$13/$B$28</f>
        <v>3.5</v>
      </c>
      <c r="H6" s="56">
        <f>IFERROR($B$15/$B$17,"0")</f>
        <v>0.3125</v>
      </c>
      <c r="I6" s="50">
        <f>$B$18</f>
        <v>3</v>
      </c>
      <c r="J6" s="51">
        <v>0</v>
      </c>
      <c r="K6" s="51">
        <v>0</v>
      </c>
      <c r="L6" s="51">
        <v>0</v>
      </c>
      <c r="M6" s="49">
        <v>0</v>
      </c>
      <c r="N6" s="55">
        <v>0</v>
      </c>
      <c r="O6" s="106">
        <f>SUM(E6:N6)</f>
        <v>22.145833333333336</v>
      </c>
      <c r="P6" s="117">
        <f>O6/'Lookup sheet'!D6</f>
        <v>0.36909722222222224</v>
      </c>
    </row>
    <row r="7" spans="1:16">
      <c r="A7" s="34" t="s">
        <v>212</v>
      </c>
      <c r="B7" s="73">
        <v>12</v>
      </c>
      <c r="D7" s="41" t="s">
        <v>33</v>
      </c>
      <c r="E7" s="49">
        <f>$B$3/$B$6</f>
        <v>5.9259259259259256</v>
      </c>
      <c r="F7" s="49">
        <f>$B$10/$B$11</f>
        <v>0.6</v>
      </c>
      <c r="G7" s="49">
        <f>$B$13/$B$27</f>
        <v>1.75</v>
      </c>
      <c r="H7" s="56">
        <f>IFERROR($B$15/$B$17,"0")</f>
        <v>0.3125</v>
      </c>
      <c r="I7" s="50">
        <f>$B$18</f>
        <v>3</v>
      </c>
      <c r="J7" s="51">
        <v>0</v>
      </c>
      <c r="K7" s="51">
        <v>0</v>
      </c>
      <c r="L7" s="51">
        <v>0</v>
      </c>
      <c r="M7" s="49">
        <v>0</v>
      </c>
      <c r="N7" s="55">
        <v>0</v>
      </c>
      <c r="O7" s="106">
        <f>SUM(E7:N7)</f>
        <v>11.588425925925925</v>
      </c>
      <c r="P7" s="117">
        <f>O7/'Lookup sheet'!D7</f>
        <v>0.46353703703703703</v>
      </c>
    </row>
    <row r="8" spans="1:16">
      <c r="A8" s="34" t="s">
        <v>213</v>
      </c>
      <c r="B8" s="73">
        <v>3</v>
      </c>
      <c r="D8" s="41" t="s">
        <v>27</v>
      </c>
      <c r="E8" s="49">
        <f>$B$5/$B$7</f>
        <v>14.166666666666666</v>
      </c>
      <c r="F8" s="49">
        <f>$B$10/$B$12</f>
        <v>2</v>
      </c>
      <c r="G8" s="49">
        <f>$B$13/$B$28</f>
        <v>3.5</v>
      </c>
      <c r="H8" s="56">
        <f>IFERROR($B$15/$B$17,"0")</f>
        <v>0.3125</v>
      </c>
      <c r="I8" s="51">
        <v>0</v>
      </c>
      <c r="J8" s="51">
        <f>$B$19</f>
        <v>2.5</v>
      </c>
      <c r="K8" s="51">
        <v>0</v>
      </c>
      <c r="L8" s="51">
        <v>0</v>
      </c>
      <c r="M8" s="49">
        <v>0</v>
      </c>
      <c r="N8" s="55">
        <v>0</v>
      </c>
      <c r="O8" s="106">
        <f>SUM(E8:N8)</f>
        <v>22.479166666666664</v>
      </c>
      <c r="P8" s="117">
        <f>O8/'Lookup sheet'!D8</f>
        <v>0.34583333333333327</v>
      </c>
    </row>
    <row r="9" spans="1:16">
      <c r="A9" s="34" t="s">
        <v>214</v>
      </c>
      <c r="B9" s="73">
        <v>42</v>
      </c>
      <c r="D9" s="41" t="s">
        <v>42</v>
      </c>
      <c r="E9" s="49">
        <f>$B$5/$B$6</f>
        <v>6.2962962962962967</v>
      </c>
      <c r="F9" s="49">
        <f>$B$10/$B$11</f>
        <v>0.6</v>
      </c>
      <c r="G9" s="49">
        <f>$B$13/$B$27</f>
        <v>1.75</v>
      </c>
      <c r="H9" s="56">
        <f>IFERROR($B$15/$B$17,"0")</f>
        <v>0.3125</v>
      </c>
      <c r="I9" s="51">
        <v>0</v>
      </c>
      <c r="J9" s="51">
        <f>$B$19</f>
        <v>2.5</v>
      </c>
      <c r="K9" s="51">
        <v>0</v>
      </c>
      <c r="L9" s="51">
        <v>0</v>
      </c>
      <c r="M9" s="49">
        <v>0</v>
      </c>
      <c r="N9" s="55">
        <v>0</v>
      </c>
      <c r="O9" s="106">
        <f>SUM(E9:N9)</f>
        <v>11.458796296296295</v>
      </c>
      <c r="P9" s="117">
        <f>O9/'Lookup sheet'!D9</f>
        <v>0.38195987654320984</v>
      </c>
    </row>
    <row r="10" spans="1:16">
      <c r="A10" s="34" t="s">
        <v>215</v>
      </c>
      <c r="B10" s="73">
        <v>6</v>
      </c>
      <c r="D10" s="41" t="s">
        <v>64</v>
      </c>
      <c r="E10" s="49">
        <f>$B$4/$B$8</f>
        <v>50</v>
      </c>
      <c r="F10" s="49">
        <f>$B$10/$B$26</f>
        <v>1.5</v>
      </c>
      <c r="G10" s="49">
        <v>0</v>
      </c>
      <c r="H10" s="56">
        <f>IFERROR($B$15/$B$17,"0")</f>
        <v>0.3125</v>
      </c>
      <c r="I10" s="51">
        <v>0</v>
      </c>
      <c r="J10" s="51">
        <v>0</v>
      </c>
      <c r="K10" s="51">
        <v>0</v>
      </c>
      <c r="L10" s="51">
        <v>0</v>
      </c>
      <c r="M10" s="49">
        <v>0</v>
      </c>
      <c r="N10" s="55">
        <v>0</v>
      </c>
      <c r="O10" s="106">
        <f>SUM(E10:N10)</f>
        <v>51.8125</v>
      </c>
      <c r="P10" s="117">
        <f>O10/'Lookup sheet'!D10</f>
        <v>0.47102272727272726</v>
      </c>
    </row>
    <row r="11" spans="1:16">
      <c r="A11" s="34" t="s">
        <v>216</v>
      </c>
      <c r="B11" s="73">
        <v>10</v>
      </c>
      <c r="D11" s="41" t="s">
        <v>56</v>
      </c>
      <c r="E11" s="49">
        <f>$B$3/$B$8</f>
        <v>53.333333333333336</v>
      </c>
      <c r="F11" s="49">
        <f>$B$10/$B$26</f>
        <v>1.5</v>
      </c>
      <c r="G11" s="49">
        <v>0</v>
      </c>
      <c r="H11" s="56">
        <f>IFERROR($B$15/$B$17,"0")</f>
        <v>0.3125</v>
      </c>
      <c r="I11" s="51">
        <v>0</v>
      </c>
      <c r="J11" s="51">
        <v>0</v>
      </c>
      <c r="K11" s="51">
        <v>0</v>
      </c>
      <c r="L11" s="51">
        <v>0</v>
      </c>
      <c r="M11" s="49">
        <v>0</v>
      </c>
      <c r="N11" s="55">
        <v>0</v>
      </c>
      <c r="O11" s="106">
        <f>SUM(E11:N11)</f>
        <v>55.145833333333336</v>
      </c>
      <c r="P11" s="117">
        <f>O11/'Lookup sheet'!D11</f>
        <v>0.50132575757575759</v>
      </c>
    </row>
    <row r="12" spans="1:16">
      <c r="A12" s="34" t="s">
        <v>217</v>
      </c>
      <c r="B12" s="73">
        <v>3</v>
      </c>
      <c r="D12" s="69" t="s">
        <v>65</v>
      </c>
      <c r="E12" s="49">
        <f>$B$5/$B$8</f>
        <v>56.666666666666664</v>
      </c>
      <c r="F12" s="49">
        <f>$B$10/$B$26</f>
        <v>1.5</v>
      </c>
      <c r="G12" s="49">
        <v>0</v>
      </c>
      <c r="H12" s="56">
        <f>IFERROR($B$15/$B$17,"0")</f>
        <v>0.3125</v>
      </c>
      <c r="I12" s="51">
        <v>0</v>
      </c>
      <c r="J12" s="51">
        <v>0</v>
      </c>
      <c r="K12" s="51">
        <v>0</v>
      </c>
      <c r="L12" s="51">
        <v>0</v>
      </c>
      <c r="M12" s="49">
        <v>0</v>
      </c>
      <c r="N12" s="55">
        <v>0</v>
      </c>
      <c r="O12" s="106">
        <f>SUM(E12:N12)</f>
        <v>58.479166666666664</v>
      </c>
      <c r="P12" s="117">
        <f>O12/'Lookup sheet'!D12</f>
        <v>0.53162878787878787</v>
      </c>
    </row>
    <row r="13" spans="1:16">
      <c r="A13" s="34" t="s">
        <v>218</v>
      </c>
      <c r="B13" s="73">
        <v>7</v>
      </c>
      <c r="D13" s="41" t="s">
        <v>57</v>
      </c>
      <c r="E13" s="49">
        <f>$B$4/$B$9</f>
        <v>3.5714285714285716</v>
      </c>
      <c r="F13" s="49">
        <v>0</v>
      </c>
      <c r="G13" s="49">
        <f>$B$13/$B$14</f>
        <v>0.875</v>
      </c>
      <c r="H13" s="56">
        <f>IFERROR($B$15/$B$17,"0")</f>
        <v>0.3125</v>
      </c>
      <c r="I13" s="51">
        <v>0</v>
      </c>
      <c r="J13" s="51">
        <v>0</v>
      </c>
      <c r="K13" s="51">
        <v>0</v>
      </c>
      <c r="L13" s="51">
        <v>0</v>
      </c>
      <c r="M13" s="49">
        <v>0</v>
      </c>
      <c r="N13" s="55">
        <f>$B$31/$B$32</f>
        <v>0.2</v>
      </c>
      <c r="O13" s="106">
        <f>SUM(E13:N13)</f>
        <v>4.9589285714285714</v>
      </c>
      <c r="P13" s="117">
        <f>O13/'Lookup sheet'!D13</f>
        <v>0.12397321428571428</v>
      </c>
    </row>
    <row r="14" spans="1:16">
      <c r="A14" s="34" t="s">
        <v>219</v>
      </c>
      <c r="B14" s="73">
        <v>8</v>
      </c>
      <c r="D14" s="41" t="s">
        <v>24</v>
      </c>
      <c r="E14" s="49">
        <f>$B$3/$B$9</f>
        <v>3.8095238095238093</v>
      </c>
      <c r="F14" s="49">
        <v>0</v>
      </c>
      <c r="G14" s="49">
        <f>$B$13/$B$14</f>
        <v>0.875</v>
      </c>
      <c r="H14" s="56">
        <f>IFERROR($B$15/$B$17,"0")</f>
        <v>0.3125</v>
      </c>
      <c r="I14" s="51">
        <v>0</v>
      </c>
      <c r="J14" s="51">
        <v>0</v>
      </c>
      <c r="K14" s="51">
        <v>0</v>
      </c>
      <c r="L14" s="51">
        <v>0</v>
      </c>
      <c r="M14" s="49">
        <v>0</v>
      </c>
      <c r="N14" s="55">
        <f>$B$31/$B$32</f>
        <v>0.2</v>
      </c>
      <c r="O14" s="106">
        <f>SUM(E14:N14)</f>
        <v>5.1970238095238095</v>
      </c>
      <c r="P14" s="117">
        <f>O14/'Lookup sheet'!D14</f>
        <v>0.12992559523809524</v>
      </c>
    </row>
    <row r="15" spans="1:16">
      <c r="A15" s="98" t="s">
        <v>197</v>
      </c>
      <c r="B15" s="102">
        <v>25</v>
      </c>
      <c r="D15" s="41" t="s">
        <v>58</v>
      </c>
      <c r="E15" s="49">
        <f>$B$5/$B$8</f>
        <v>56.666666666666664</v>
      </c>
      <c r="F15" s="49">
        <f>$B$10/$B$26</f>
        <v>1.5</v>
      </c>
      <c r="G15" s="49">
        <v>0</v>
      </c>
      <c r="H15" s="56">
        <f>IFERROR($B$15/$B$17,"0")</f>
        <v>0.3125</v>
      </c>
      <c r="I15" s="51">
        <v>0</v>
      </c>
      <c r="J15" s="51">
        <v>0</v>
      </c>
      <c r="K15" s="51">
        <v>0</v>
      </c>
      <c r="L15" s="51">
        <v>0</v>
      </c>
      <c r="M15" s="49">
        <f>$B$22</f>
        <v>1.2</v>
      </c>
      <c r="N15" s="55">
        <v>0</v>
      </c>
      <c r="O15" s="106">
        <f>SUM(E15:N15)</f>
        <v>59.679166666666667</v>
      </c>
      <c r="P15" s="117">
        <f>O15/'Lookup sheet'!D15</f>
        <v>0.45907051282051281</v>
      </c>
    </row>
    <row r="16" spans="1:16">
      <c r="A16" s="34" t="s">
        <v>220</v>
      </c>
      <c r="B16" s="73">
        <v>6</v>
      </c>
      <c r="D16" s="41" t="s">
        <v>28</v>
      </c>
      <c r="E16" s="49">
        <f>$B$5/$B$7</f>
        <v>14.166666666666666</v>
      </c>
      <c r="F16" s="49">
        <f>$B$10/$B$12</f>
        <v>2</v>
      </c>
      <c r="G16" s="49">
        <f>$B$13/$B$28</f>
        <v>3.5</v>
      </c>
      <c r="H16" s="56">
        <f>IFERROR($B$15/$B$17,"0")</f>
        <v>0.3125</v>
      </c>
      <c r="I16" s="51">
        <v>0</v>
      </c>
      <c r="J16" s="51">
        <v>0</v>
      </c>
      <c r="K16" s="51">
        <v>0</v>
      </c>
      <c r="L16" s="51">
        <v>0</v>
      </c>
      <c r="M16" s="49">
        <f>$B$22</f>
        <v>1.2</v>
      </c>
      <c r="N16" s="55">
        <v>0</v>
      </c>
      <c r="O16" s="106">
        <f>SUM(E16:N16)</f>
        <v>21.179166666666664</v>
      </c>
      <c r="P16" s="117">
        <f>O16/'Lookup sheet'!D16</f>
        <v>0.35298611111111106</v>
      </c>
    </row>
    <row r="17" spans="1:16">
      <c r="A17" s="98" t="s">
        <v>221</v>
      </c>
      <c r="B17" s="102">
        <v>80</v>
      </c>
      <c r="D17" s="41" t="s">
        <v>40</v>
      </c>
      <c r="E17" s="49">
        <f>$B$5/$B$6</f>
        <v>6.2962962962962967</v>
      </c>
      <c r="F17" s="49">
        <f>$B$10/$B$11</f>
        <v>0.6</v>
      </c>
      <c r="G17" s="49">
        <f>$B$13/$B$27</f>
        <v>1.75</v>
      </c>
      <c r="H17" s="56">
        <f>IFERROR($B$15/$B$17,"0")</f>
        <v>0.3125</v>
      </c>
      <c r="I17" s="51">
        <v>0</v>
      </c>
      <c r="J17" s="51">
        <v>0</v>
      </c>
      <c r="K17" s="51">
        <v>0</v>
      </c>
      <c r="L17" s="51">
        <v>0</v>
      </c>
      <c r="M17" s="49">
        <f>$B$22</f>
        <v>1.2</v>
      </c>
      <c r="N17" s="55">
        <v>0</v>
      </c>
      <c r="O17" s="106">
        <f>SUM(E17:N17)</f>
        <v>10.158796296296295</v>
      </c>
      <c r="P17" s="117">
        <f>O17/'Lookup sheet'!D17</f>
        <v>0.4063518518518518</v>
      </c>
    </row>
    <row r="18" spans="1:16">
      <c r="A18" s="34" t="s">
        <v>222</v>
      </c>
      <c r="B18" s="74">
        <v>3</v>
      </c>
      <c r="D18" s="41" t="s">
        <v>35</v>
      </c>
      <c r="E18" s="49">
        <f>$B$3/$B$33</f>
        <v>32</v>
      </c>
      <c r="F18" s="49">
        <f>B10</f>
        <v>6</v>
      </c>
      <c r="G18" s="49">
        <f>$B$13/$B$27</f>
        <v>1.75</v>
      </c>
      <c r="H18" s="56">
        <f>IFERROR($B$15/$B$17,"0")</f>
        <v>0.3125</v>
      </c>
      <c r="I18" s="50">
        <f>$B$18</f>
        <v>3</v>
      </c>
      <c r="J18" s="51">
        <f>$B$19</f>
        <v>2.5</v>
      </c>
      <c r="K18" s="51">
        <f>$B$20</f>
        <v>1.5</v>
      </c>
      <c r="L18" s="104">
        <f>$B$21</f>
        <v>1.5</v>
      </c>
      <c r="M18" s="49">
        <f>$B$22</f>
        <v>1.2</v>
      </c>
      <c r="N18" s="55">
        <v>0</v>
      </c>
      <c r="O18" s="106">
        <f>SUM(E18:N18)</f>
        <v>49.762500000000003</v>
      </c>
      <c r="P18" s="117">
        <f>O18/'Lookup sheet'!D18</f>
        <v>0.33175000000000004</v>
      </c>
    </row>
    <row r="19" spans="1:16">
      <c r="A19" s="34" t="s">
        <v>223</v>
      </c>
      <c r="B19" s="75">
        <v>2.5</v>
      </c>
      <c r="D19" s="41" t="s">
        <v>59</v>
      </c>
      <c r="E19" s="49">
        <f>$B$3/$B$8</f>
        <v>53.333333333333336</v>
      </c>
      <c r="F19" s="49">
        <f>$B$10/$B$26</f>
        <v>1.5</v>
      </c>
      <c r="G19" s="49">
        <v>0</v>
      </c>
      <c r="H19" s="56">
        <f>IFERROR($B$15/$B$17,"0")</f>
        <v>0.3125</v>
      </c>
      <c r="I19" s="51">
        <v>0</v>
      </c>
      <c r="J19" s="51">
        <v>0</v>
      </c>
      <c r="K19" s="51">
        <f>$B$20</f>
        <v>1.5</v>
      </c>
      <c r="L19" s="51">
        <v>0</v>
      </c>
      <c r="M19" s="49">
        <v>0</v>
      </c>
      <c r="N19" s="55">
        <v>0</v>
      </c>
      <c r="O19" s="106">
        <f>SUM(E19:N19)</f>
        <v>56.645833333333336</v>
      </c>
      <c r="P19" s="117">
        <f>O19/'Lookup sheet'!D19</f>
        <v>0.43573717948717949</v>
      </c>
    </row>
    <row r="20" spans="1:16">
      <c r="A20" s="34" t="s">
        <v>224</v>
      </c>
      <c r="B20" s="74">
        <v>1.5</v>
      </c>
      <c r="D20" s="41" t="s">
        <v>31</v>
      </c>
      <c r="E20" s="49">
        <f>$B$3/$B$7</f>
        <v>13.333333333333334</v>
      </c>
      <c r="F20" s="49">
        <f>$B$10/$B$12</f>
        <v>2</v>
      </c>
      <c r="G20" s="49">
        <f>$B$13/$B$28</f>
        <v>3.5</v>
      </c>
      <c r="H20" s="56">
        <f>IFERROR($B$15/$B$17,"0")</f>
        <v>0.3125</v>
      </c>
      <c r="I20" s="51">
        <v>0</v>
      </c>
      <c r="J20" s="51">
        <v>0</v>
      </c>
      <c r="K20" s="51">
        <f>$B$20</f>
        <v>1.5</v>
      </c>
      <c r="L20" s="51">
        <v>0</v>
      </c>
      <c r="M20" s="49">
        <v>0</v>
      </c>
      <c r="N20" s="55">
        <v>0</v>
      </c>
      <c r="O20" s="106">
        <f>SUM(E20:N20)</f>
        <v>20.645833333333336</v>
      </c>
      <c r="P20" s="117">
        <f>O20/'Lookup sheet'!D20</f>
        <v>0.37537878787878792</v>
      </c>
    </row>
    <row r="21" spans="1:16">
      <c r="A21" s="34" t="s">
        <v>225</v>
      </c>
      <c r="B21" s="75">
        <v>1.5</v>
      </c>
      <c r="D21" s="41" t="s">
        <v>43</v>
      </c>
      <c r="E21" s="49">
        <f>$B$3/$B$6</f>
        <v>5.9259259259259256</v>
      </c>
      <c r="F21" s="49">
        <f>$B$10/$B$11</f>
        <v>0.6</v>
      </c>
      <c r="G21" s="49">
        <f>$B$13/$B$27</f>
        <v>1.75</v>
      </c>
      <c r="H21" s="56">
        <f>IFERROR($B$15/$B$17,"0")</f>
        <v>0.3125</v>
      </c>
      <c r="I21" s="51">
        <v>0</v>
      </c>
      <c r="J21" s="51">
        <v>0</v>
      </c>
      <c r="K21" s="51">
        <f>$B$20</f>
        <v>1.5</v>
      </c>
      <c r="L21" s="51">
        <v>0</v>
      </c>
      <c r="M21" s="49">
        <v>0</v>
      </c>
      <c r="N21" s="55">
        <v>0</v>
      </c>
      <c r="O21" s="106">
        <f>SUM(E21:N21)</f>
        <v>10.088425925925925</v>
      </c>
      <c r="P21" s="117">
        <f>O21/'Lookup sheet'!D21</f>
        <v>0.40353703703703703</v>
      </c>
    </row>
    <row r="22" spans="1:16">
      <c r="A22" s="34" t="s">
        <v>226</v>
      </c>
      <c r="B22" s="74">
        <v>1.2</v>
      </c>
      <c r="D22" s="41" t="s">
        <v>37</v>
      </c>
      <c r="E22" s="49">
        <f>$B$3/$B$16</f>
        <v>26.666666666666668</v>
      </c>
      <c r="F22" s="49">
        <f>$B$25/$B$24</f>
        <v>3</v>
      </c>
      <c r="G22" s="49">
        <v>0</v>
      </c>
      <c r="H22" s="56">
        <f>IFERROR($B$15/$B$17,"0")</f>
        <v>0.3125</v>
      </c>
      <c r="I22" s="51">
        <v>0</v>
      </c>
      <c r="J22" s="51">
        <v>0</v>
      </c>
      <c r="K22" s="51">
        <v>0</v>
      </c>
      <c r="L22" s="51">
        <v>0</v>
      </c>
      <c r="M22" s="49">
        <v>0</v>
      </c>
      <c r="N22" s="55">
        <v>0</v>
      </c>
      <c r="O22" s="106">
        <f>SUM(E22:N22)</f>
        <v>29.979166666666668</v>
      </c>
      <c r="P22" s="117">
        <f>O22/'Lookup sheet'!D22</f>
        <v>0.29979166666666668</v>
      </c>
    </row>
    <row r="23" spans="1:16">
      <c r="A23" s="16" t="s">
        <v>227</v>
      </c>
      <c r="B23" s="73">
        <v>5</v>
      </c>
      <c r="D23" s="65" t="s">
        <v>92</v>
      </c>
      <c r="E23" s="49">
        <f>$B$4/$B$7</f>
        <v>12.5</v>
      </c>
      <c r="F23" s="49">
        <f>$B$10/$B$12</f>
        <v>2</v>
      </c>
      <c r="G23" s="49">
        <f>$B$13/$B$28</f>
        <v>3.5</v>
      </c>
      <c r="H23" s="56">
        <f>IFERROR($B$15/$B$17,"0")</f>
        <v>0.3125</v>
      </c>
      <c r="I23" s="51">
        <v>0</v>
      </c>
      <c r="J23" s="51">
        <v>0</v>
      </c>
      <c r="K23" s="51">
        <v>0</v>
      </c>
      <c r="L23" s="51">
        <v>0</v>
      </c>
      <c r="M23" s="49">
        <v>0</v>
      </c>
      <c r="N23" s="55">
        <v>0</v>
      </c>
      <c r="O23" s="106">
        <f>SUM(E23:N23)</f>
        <v>18.3125</v>
      </c>
      <c r="P23" s="117">
        <f>O23/'Lookup sheet'!D23</f>
        <v>0.36625000000000002</v>
      </c>
    </row>
    <row r="24" spans="1:16">
      <c r="A24" s="36" t="s">
        <v>228</v>
      </c>
      <c r="B24" s="73">
        <v>4</v>
      </c>
      <c r="D24" s="41" t="s">
        <v>51</v>
      </c>
      <c r="E24" s="49">
        <f>$B$4/$B$6</f>
        <v>5.5555555555555554</v>
      </c>
      <c r="F24" s="49">
        <f>$B$10/$B$11</f>
        <v>0.6</v>
      </c>
      <c r="G24" s="49">
        <f>$B$13/$B$27</f>
        <v>1.75</v>
      </c>
      <c r="H24" s="56">
        <f>IFERROR($B$15/$B$17,"0")</f>
        <v>0.3125</v>
      </c>
      <c r="I24" s="51">
        <v>0</v>
      </c>
      <c r="J24" s="51">
        <v>0</v>
      </c>
      <c r="K24" s="51">
        <v>0</v>
      </c>
      <c r="L24" s="51">
        <v>0</v>
      </c>
      <c r="M24" s="49">
        <v>0</v>
      </c>
      <c r="N24" s="55">
        <v>0</v>
      </c>
      <c r="O24" s="106">
        <f>SUM(E24:N24)</f>
        <v>8.218055555555555</v>
      </c>
      <c r="P24" s="117">
        <f>O24/'Lookup sheet'!D24</f>
        <v>0.41090277777777773</v>
      </c>
    </row>
    <row r="25" spans="1:16">
      <c r="A25" s="16" t="s">
        <v>229</v>
      </c>
      <c r="B25" s="73">
        <v>12</v>
      </c>
      <c r="D25" s="41" t="s">
        <v>75</v>
      </c>
      <c r="E25" s="49">
        <f>$B$3/$B$7</f>
        <v>13.333333333333334</v>
      </c>
      <c r="F25" s="49">
        <f>$B$10/$B$12</f>
        <v>2</v>
      </c>
      <c r="G25" s="49">
        <f>$B$13/$B$28</f>
        <v>3.5</v>
      </c>
      <c r="H25" s="56">
        <f>IFERROR($B$15/$B$17,"0")</f>
        <v>0.3125</v>
      </c>
      <c r="I25" s="51">
        <v>0</v>
      </c>
      <c r="J25" s="51">
        <v>0</v>
      </c>
      <c r="K25" s="51">
        <v>0</v>
      </c>
      <c r="L25" s="51">
        <v>0</v>
      </c>
      <c r="M25" s="49">
        <v>0</v>
      </c>
      <c r="N25" s="55">
        <v>0</v>
      </c>
      <c r="O25" s="106">
        <f>SUM(E25:N25)</f>
        <v>19.145833333333336</v>
      </c>
      <c r="P25" s="117">
        <f>O25/'Lookup sheet'!D25</f>
        <v>0.38291666666666674</v>
      </c>
    </row>
    <row r="26" spans="1:16">
      <c r="A26" s="48" t="s">
        <v>230</v>
      </c>
      <c r="B26" s="73">
        <v>4</v>
      </c>
      <c r="D26" s="43" t="s">
        <v>47</v>
      </c>
      <c r="E26" s="52">
        <f>$B$3/$B$6</f>
        <v>5.9259259259259256</v>
      </c>
      <c r="F26" s="52">
        <f>$B$10/$B$11</f>
        <v>0.6</v>
      </c>
      <c r="G26" s="52">
        <f>$B$13/$B$27</f>
        <v>1.75</v>
      </c>
      <c r="H26" s="57">
        <f>IFERROR($B$15/$B$17,"0")</f>
        <v>0.3125</v>
      </c>
      <c r="I26" s="53">
        <v>0</v>
      </c>
      <c r="J26" s="53">
        <v>0</v>
      </c>
      <c r="K26" s="53">
        <v>0</v>
      </c>
      <c r="L26" s="53">
        <v>0</v>
      </c>
      <c r="M26" s="52">
        <v>0</v>
      </c>
      <c r="N26" s="110">
        <v>0</v>
      </c>
      <c r="O26" s="111">
        <f>SUM(E26:N26)</f>
        <v>8.5884259259259252</v>
      </c>
      <c r="P26" s="117">
        <f>O26/'Lookup sheet'!D26</f>
        <v>0.42942129629629627</v>
      </c>
    </row>
    <row r="27" spans="1:16">
      <c r="A27" s="16" t="s">
        <v>231</v>
      </c>
      <c r="B27" s="73">
        <v>4</v>
      </c>
      <c r="D27" s="69" t="s">
        <v>93</v>
      </c>
      <c r="E27" s="108">
        <f>$B$5/$B$7</f>
        <v>14.166666666666666</v>
      </c>
      <c r="F27" s="108">
        <f>$B$10/$B$12</f>
        <v>2</v>
      </c>
      <c r="G27" s="108">
        <f>$B$13/$B$28</f>
        <v>3.5</v>
      </c>
      <c r="H27" s="109">
        <f>IFERROR($B$15/$B$17,"0")</f>
        <v>0.3125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54">
        <v>0</v>
      </c>
      <c r="O27" s="101">
        <f>SUM(E27:N27)</f>
        <v>19.979166666666664</v>
      </c>
      <c r="P27" s="117">
        <f>O27/'Lookup sheet'!D27</f>
        <v>0.39958333333333329</v>
      </c>
    </row>
    <row r="28" spans="1:16">
      <c r="A28" s="34" t="s">
        <v>232</v>
      </c>
      <c r="B28" s="73">
        <v>2</v>
      </c>
      <c r="D28" s="112" t="s">
        <v>52</v>
      </c>
      <c r="E28" s="113">
        <f>$B$5/$B$6</f>
        <v>6.2962962962962967</v>
      </c>
      <c r="F28" s="113">
        <f>$B$10/$B$11</f>
        <v>0.6</v>
      </c>
      <c r="G28" s="113">
        <f>$B$13/$B$27</f>
        <v>1.75</v>
      </c>
      <c r="H28" s="56">
        <f>IFERROR($B$15/$B$17,"0")</f>
        <v>0.3125</v>
      </c>
      <c r="I28" s="114">
        <v>0</v>
      </c>
      <c r="J28" s="114">
        <v>0</v>
      </c>
      <c r="K28" s="114">
        <v>0</v>
      </c>
      <c r="L28" s="114">
        <v>0</v>
      </c>
      <c r="M28" s="113">
        <v>0</v>
      </c>
      <c r="N28" s="115">
        <v>0</v>
      </c>
      <c r="O28" s="116">
        <f>SUM(E28:N28)</f>
        <v>8.9587962962962955</v>
      </c>
      <c r="P28" s="117">
        <f>O28/'Lookup sheet'!D28</f>
        <v>0.44793981481481476</v>
      </c>
    </row>
    <row r="29" spans="1:16">
      <c r="A29" s="70" t="s">
        <v>233</v>
      </c>
      <c r="B29" s="76">
        <v>20</v>
      </c>
      <c r="D29" s="43" t="s">
        <v>60</v>
      </c>
      <c r="E29" s="52">
        <f>$B$4/$B$8</f>
        <v>50</v>
      </c>
      <c r="F29" s="52">
        <f>$B$25/$B$24</f>
        <v>3</v>
      </c>
      <c r="G29" s="52">
        <v>0</v>
      </c>
      <c r="H29" s="57">
        <f>IFERROR($B$15/$B$17,"0")</f>
        <v>0.3125</v>
      </c>
      <c r="I29" s="53">
        <v>0</v>
      </c>
      <c r="J29" s="53">
        <v>0</v>
      </c>
      <c r="K29" s="53">
        <v>0</v>
      </c>
      <c r="L29" s="53">
        <f>$B$21</f>
        <v>1.5</v>
      </c>
      <c r="M29" s="52">
        <v>0</v>
      </c>
      <c r="N29" s="55">
        <v>0</v>
      </c>
      <c r="O29" s="107">
        <f>SUM(E29:N29)</f>
        <v>54.8125</v>
      </c>
      <c r="P29" s="117">
        <f>O29/'Lookup sheet'!D29</f>
        <v>0.42163461538461539</v>
      </c>
    </row>
    <row r="30" spans="1:16">
      <c r="A30" s="99" t="s">
        <v>234</v>
      </c>
      <c r="B30" s="100">
        <v>30</v>
      </c>
      <c r="D30" s="43" t="s">
        <v>25</v>
      </c>
      <c r="E30" s="53">
        <f>$B$4/$B$7</f>
        <v>12.5</v>
      </c>
      <c r="F30" s="53">
        <f>$B$10/$B$12</f>
        <v>2</v>
      </c>
      <c r="G30" s="52">
        <f>$B$13/$B$28</f>
        <v>3.5</v>
      </c>
      <c r="H30" s="67">
        <f>IFERROR($B$15/$B$17,"0")</f>
        <v>0.3125</v>
      </c>
      <c r="I30" s="68">
        <v>0</v>
      </c>
      <c r="J30" s="53">
        <v>0</v>
      </c>
      <c r="K30" s="53">
        <v>0</v>
      </c>
      <c r="L30" s="53">
        <f>$B$21</f>
        <v>1.5</v>
      </c>
      <c r="M30" s="53">
        <v>0</v>
      </c>
      <c r="N30" s="55">
        <v>0</v>
      </c>
      <c r="O30" s="106">
        <f>SUM(E30:N30)</f>
        <v>19.8125</v>
      </c>
      <c r="P30" s="117">
        <f>O30/'Lookup sheet'!D30</f>
        <v>0.36022727272727273</v>
      </c>
    </row>
    <row r="31" spans="1:16">
      <c r="A31" s="66" t="s">
        <v>235</v>
      </c>
      <c r="B31" s="66">
        <v>20</v>
      </c>
      <c r="D31" s="43" t="s">
        <v>62</v>
      </c>
      <c r="E31" s="53">
        <f>$B$4/$B$6</f>
        <v>5.5555555555555554</v>
      </c>
      <c r="F31" s="53">
        <f>$B$10/$B$11</f>
        <v>0.6</v>
      </c>
      <c r="G31" s="53">
        <f>$B$13/$B$27</f>
        <v>1.75</v>
      </c>
      <c r="H31" s="67">
        <f>IFERROR($B$15/$B$17,"0")</f>
        <v>0.3125</v>
      </c>
      <c r="I31" s="53">
        <v>0</v>
      </c>
      <c r="J31" s="53">
        <v>0</v>
      </c>
      <c r="K31" s="53">
        <v>0</v>
      </c>
      <c r="L31" s="53">
        <f>$B$21</f>
        <v>1.5</v>
      </c>
      <c r="M31" s="53">
        <v>0</v>
      </c>
      <c r="N31" s="110">
        <v>0</v>
      </c>
      <c r="O31" s="147">
        <f>SUM(E31:N31)</f>
        <v>9.718055555555555</v>
      </c>
      <c r="P31" s="148">
        <f>O31/'Lookup sheet'!D31</f>
        <v>0.38872222222222219</v>
      </c>
    </row>
    <row r="32" spans="1:16">
      <c r="A32" s="99" t="s">
        <v>236</v>
      </c>
      <c r="B32" s="105">
        <v>100</v>
      </c>
      <c r="D32" s="149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1"/>
    </row>
    <row r="33" spans="1:16">
      <c r="A33" s="66" t="s">
        <v>237</v>
      </c>
      <c r="B33" s="66">
        <v>5</v>
      </c>
      <c r="D33" s="152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4"/>
    </row>
    <row r="35" spans="1:16">
      <c r="K35" s="7"/>
      <c r="L35" s="7"/>
      <c r="M35" s="131"/>
    </row>
    <row r="36" spans="1:16">
      <c r="K36" s="7"/>
      <c r="L36" s="7"/>
      <c r="M36" s="131"/>
    </row>
    <row r="37" spans="1:16">
      <c r="K37" s="7"/>
      <c r="L37" s="7"/>
      <c r="M37" s="131"/>
    </row>
    <row r="38" spans="1:16">
      <c r="K38" s="7"/>
      <c r="L38" s="7"/>
      <c r="M38" s="131"/>
    </row>
  </sheetData>
  <sortState xmlns:xlrd2="http://schemas.microsoft.com/office/spreadsheetml/2017/richdata2" ref="D2:O30">
    <sortCondition ref="D2:D30"/>
  </sortState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0AE8-E112-4A80-854A-C868EDEBC051}">
  <dimension ref="A1:M31"/>
  <sheetViews>
    <sheetView topLeftCell="A11" workbookViewId="0">
      <selection activeCell="A2" sqref="A2:A31"/>
    </sheetView>
  </sheetViews>
  <sheetFormatPr defaultRowHeight="15"/>
  <cols>
    <col min="1" max="1" width="26" bestFit="1" customWidth="1"/>
    <col min="2" max="3" width="26" customWidth="1"/>
    <col min="4" max="4" width="8.85546875" style="1"/>
    <col min="5" max="5" width="13.140625" bestFit="1" customWidth="1"/>
    <col min="7" max="7" width="20" bestFit="1" customWidth="1"/>
    <col min="9" max="9" width="20" bestFit="1" customWidth="1"/>
  </cols>
  <sheetData>
    <row r="1" spans="1:13">
      <c r="A1" t="s">
        <v>238</v>
      </c>
      <c r="B1" t="s">
        <v>184</v>
      </c>
      <c r="C1" t="s">
        <v>239</v>
      </c>
      <c r="D1" s="1" t="s">
        <v>240</v>
      </c>
      <c r="E1" t="s">
        <v>241</v>
      </c>
      <c r="G1" t="s">
        <v>83</v>
      </c>
      <c r="I1" t="s">
        <v>242</v>
      </c>
      <c r="L1" s="31"/>
      <c r="M1" s="32"/>
    </row>
    <row r="2" spans="1:13">
      <c r="A2" t="s">
        <v>69</v>
      </c>
      <c r="B2" t="s">
        <v>191</v>
      </c>
      <c r="C2" t="s">
        <v>180</v>
      </c>
      <c r="D2" s="1">
        <v>130</v>
      </c>
      <c r="E2">
        <f>SUMIF(Easter[Product Name],'Lookup sheet'!A2,Easter[[Quantity ]])</f>
        <v>3</v>
      </c>
      <c r="G2" t="s">
        <v>243</v>
      </c>
      <c r="I2" t="s">
        <v>84</v>
      </c>
      <c r="L2" s="31"/>
      <c r="M2" s="32"/>
    </row>
    <row r="3" spans="1:13">
      <c r="A3" t="s">
        <v>19</v>
      </c>
      <c r="B3" t="s">
        <v>190</v>
      </c>
      <c r="C3" t="s">
        <v>180</v>
      </c>
      <c r="D3" s="1">
        <v>60</v>
      </c>
      <c r="E3">
        <f>SUMIF(Easter[Product Name],'Lookup sheet'!A3,Easter[[Quantity ]])</f>
        <v>83</v>
      </c>
      <c r="G3" t="s">
        <v>244</v>
      </c>
      <c r="I3" t="s">
        <v>21</v>
      </c>
      <c r="L3" s="32"/>
      <c r="M3" s="32"/>
    </row>
    <row r="4" spans="1:13">
      <c r="A4" t="s">
        <v>39</v>
      </c>
      <c r="B4" t="s">
        <v>189</v>
      </c>
      <c r="C4" t="s">
        <v>180</v>
      </c>
      <c r="D4" s="1">
        <v>25</v>
      </c>
      <c r="E4">
        <f>SUMIF(Easter[Product Name],'Lookup sheet'!A4,Easter[[Quantity ]])</f>
        <v>140</v>
      </c>
      <c r="G4" t="s">
        <v>20</v>
      </c>
      <c r="L4" s="32"/>
      <c r="M4" s="32"/>
    </row>
    <row r="5" spans="1:13">
      <c r="A5" t="s">
        <v>55</v>
      </c>
      <c r="B5" t="s">
        <v>191</v>
      </c>
      <c r="C5" t="s">
        <v>181</v>
      </c>
      <c r="D5" s="1">
        <v>130</v>
      </c>
      <c r="E5">
        <f>SUMIF(Easter[Product Name],'Lookup sheet'!A5,Easter[[Quantity ]])</f>
        <v>20</v>
      </c>
      <c r="G5" t="s">
        <v>245</v>
      </c>
    </row>
    <row r="6" spans="1:13">
      <c r="A6" t="s">
        <v>30</v>
      </c>
      <c r="B6" t="s">
        <v>190</v>
      </c>
      <c r="C6" t="s">
        <v>181</v>
      </c>
      <c r="D6" s="1">
        <v>60</v>
      </c>
      <c r="E6">
        <f>SUMIF(Easter[Product Name],'Lookup sheet'!A6,Easter[[Quantity ]])</f>
        <v>42</v>
      </c>
    </row>
    <row r="7" spans="1:13">
      <c r="A7" t="s">
        <v>33</v>
      </c>
      <c r="B7" t="s">
        <v>189</v>
      </c>
      <c r="C7" t="s">
        <v>181</v>
      </c>
      <c r="D7" s="1">
        <v>25</v>
      </c>
      <c r="E7">
        <f>SUMIF(Easter[Product Name],'Lookup sheet'!A7,Easter[[Quantity ]])</f>
        <v>31</v>
      </c>
      <c r="G7" t="s">
        <v>45</v>
      </c>
    </row>
    <row r="8" spans="1:13">
      <c r="A8" t="s">
        <v>27</v>
      </c>
      <c r="B8" t="s">
        <v>190</v>
      </c>
      <c r="C8" t="s">
        <v>182</v>
      </c>
      <c r="D8" s="1">
        <v>65</v>
      </c>
      <c r="E8">
        <f>SUMIF(Easter[Product Name],'Lookup sheet'!A8,Easter[[Quantity ]])</f>
        <v>62</v>
      </c>
      <c r="G8" t="s">
        <v>22</v>
      </c>
    </row>
    <row r="9" spans="1:13">
      <c r="A9" t="s">
        <v>42</v>
      </c>
      <c r="B9" t="s">
        <v>189</v>
      </c>
      <c r="C9" t="s">
        <v>182</v>
      </c>
      <c r="D9" s="1">
        <v>30</v>
      </c>
      <c r="E9">
        <f>SUMIF(Easter[Product Name],'Lookup sheet'!A9,Easter[[Quantity ]])</f>
        <v>32</v>
      </c>
    </row>
    <row r="10" spans="1:13">
      <c r="A10" t="s">
        <v>64</v>
      </c>
      <c r="B10" t="s">
        <v>191</v>
      </c>
      <c r="C10" t="s">
        <v>180</v>
      </c>
      <c r="D10" s="1">
        <v>110</v>
      </c>
      <c r="E10">
        <f>SUMIF(Easter[Product Name],'Lookup sheet'!A10,Easter[[Quantity ]])</f>
        <v>3</v>
      </c>
    </row>
    <row r="11" spans="1:13">
      <c r="A11" t="s">
        <v>56</v>
      </c>
      <c r="B11" t="s">
        <v>191</v>
      </c>
      <c r="C11" t="s">
        <v>181</v>
      </c>
      <c r="D11" s="1">
        <v>110</v>
      </c>
      <c r="E11">
        <f>SUMIF(Easter[Product Name],'Lookup sheet'!A11,Easter[[Quantity ]])</f>
        <v>107</v>
      </c>
    </row>
    <row r="12" spans="1:13">
      <c r="A12" s="77" t="s">
        <v>65</v>
      </c>
      <c r="B12" s="77" t="s">
        <v>191</v>
      </c>
      <c r="C12" s="77" t="s">
        <v>182</v>
      </c>
      <c r="D12" s="1">
        <v>110</v>
      </c>
      <c r="E12">
        <f>SUMIF(Easter[Product Name],'Lookup sheet'!A12,Easter[[Quantity ]])</f>
        <v>2</v>
      </c>
    </row>
    <row r="13" spans="1:13">
      <c r="A13" t="s">
        <v>57</v>
      </c>
      <c r="C13" t="s">
        <v>180</v>
      </c>
      <c r="D13" s="1">
        <v>40</v>
      </c>
      <c r="E13">
        <f>SUMIF(Easter[Product Name],'Lookup sheet'!A13,Easter[[Quantity ]])</f>
        <v>21</v>
      </c>
    </row>
    <row r="14" spans="1:13">
      <c r="A14" t="s">
        <v>24</v>
      </c>
      <c r="C14" t="s">
        <v>181</v>
      </c>
      <c r="D14" s="1">
        <v>40</v>
      </c>
      <c r="E14">
        <f>SUMIF(Easter[Product Name],'Lookup sheet'!A14,Easter[[Quantity ]])</f>
        <v>30</v>
      </c>
    </row>
    <row r="15" spans="1:13">
      <c r="A15" t="s">
        <v>58</v>
      </c>
      <c r="B15" t="s">
        <v>191</v>
      </c>
      <c r="C15" t="s">
        <v>182</v>
      </c>
      <c r="D15" s="1">
        <v>130</v>
      </c>
      <c r="E15">
        <f>SUMIF(Easter[Product Name],'Lookup sheet'!A15,Easter[[Quantity ]])</f>
        <v>12</v>
      </c>
    </row>
    <row r="16" spans="1:13">
      <c r="A16" t="s">
        <v>28</v>
      </c>
      <c r="B16" t="s">
        <v>190</v>
      </c>
      <c r="C16" t="s">
        <v>182</v>
      </c>
      <c r="D16" s="1">
        <v>60</v>
      </c>
      <c r="E16">
        <f>SUMIF(Easter[Product Name],'Lookup sheet'!A16,Easter[[Quantity ]])</f>
        <v>83</v>
      </c>
    </row>
    <row r="17" spans="1:5">
      <c r="A17" t="s">
        <v>40</v>
      </c>
      <c r="B17" t="s">
        <v>189</v>
      </c>
      <c r="C17" t="s">
        <v>182</v>
      </c>
      <c r="D17" s="1">
        <v>25</v>
      </c>
      <c r="E17">
        <f>SUMIF(Easter[Product Name],'Lookup sheet'!A17,Easter[[Quantity ]])</f>
        <v>89</v>
      </c>
    </row>
    <row r="18" spans="1:5">
      <c r="A18" t="s">
        <v>35</v>
      </c>
      <c r="D18" s="1">
        <v>150</v>
      </c>
      <c r="E18">
        <f>SUMIF(Easter[Product Name],'Lookup sheet'!A18,Easter[[Quantity ]])</f>
        <v>79</v>
      </c>
    </row>
    <row r="19" spans="1:5">
      <c r="A19" t="s">
        <v>59</v>
      </c>
      <c r="B19" t="s">
        <v>191</v>
      </c>
      <c r="C19" t="s">
        <v>181</v>
      </c>
      <c r="D19" s="1">
        <v>130</v>
      </c>
      <c r="E19">
        <f>SUMIF(Easter[Product Name],'Lookup sheet'!A19,Easter[[Quantity ]])</f>
        <v>18</v>
      </c>
    </row>
    <row r="20" spans="1:5">
      <c r="A20" t="s">
        <v>31</v>
      </c>
      <c r="B20" t="s">
        <v>190</v>
      </c>
      <c r="C20" t="s">
        <v>181</v>
      </c>
      <c r="D20" s="1">
        <v>55</v>
      </c>
      <c r="E20">
        <f>SUMIF(Easter[Product Name],'Lookup sheet'!A20,Easter[[Quantity ]])</f>
        <v>81</v>
      </c>
    </row>
    <row r="21" spans="1:5">
      <c r="A21" t="s">
        <v>43</v>
      </c>
      <c r="B21" t="s">
        <v>189</v>
      </c>
      <c r="C21" t="s">
        <v>181</v>
      </c>
      <c r="D21" s="1">
        <v>25</v>
      </c>
      <c r="E21">
        <f>SUMIF(Easter[Product Name],'Lookup sheet'!A21,Easter[[Quantity ]])</f>
        <v>101</v>
      </c>
    </row>
    <row r="22" spans="1:5">
      <c r="A22" t="s">
        <v>37</v>
      </c>
      <c r="D22" s="1">
        <v>100</v>
      </c>
      <c r="E22">
        <f>SUMIF(Easter[Product Name],'Lookup sheet'!A22,Easter[[Quantity ]])</f>
        <v>52</v>
      </c>
    </row>
    <row r="23" spans="1:5">
      <c r="A23" t="s">
        <v>92</v>
      </c>
      <c r="B23" t="s">
        <v>190</v>
      </c>
      <c r="C23" t="s">
        <v>180</v>
      </c>
      <c r="D23" s="1">
        <v>50</v>
      </c>
      <c r="E23">
        <f>SUMIF(Easter[Product Name],'Lookup sheet'!A23,Easter[[Quantity ]])</f>
        <v>44</v>
      </c>
    </row>
    <row r="24" spans="1:5">
      <c r="A24" t="s">
        <v>51</v>
      </c>
      <c r="B24" t="s">
        <v>189</v>
      </c>
      <c r="C24" t="s">
        <v>180</v>
      </c>
      <c r="D24" s="1">
        <v>20</v>
      </c>
      <c r="E24">
        <f>SUMIF(Easter[Product Name],'Lookup sheet'!A24,Easter[[Quantity ]])</f>
        <v>60</v>
      </c>
    </row>
    <row r="25" spans="1:5">
      <c r="A25" t="s">
        <v>75</v>
      </c>
      <c r="B25" t="s">
        <v>190</v>
      </c>
      <c r="C25" t="s">
        <v>181</v>
      </c>
      <c r="D25" s="1">
        <v>50</v>
      </c>
      <c r="E25">
        <f>SUMIF(Easter[Product Name],'Lookup sheet'!A25,Easter[[Quantity ]])</f>
        <v>38</v>
      </c>
    </row>
    <row r="26" spans="1:5">
      <c r="A26" t="s">
        <v>47</v>
      </c>
      <c r="B26" t="s">
        <v>189</v>
      </c>
      <c r="C26" t="s">
        <v>181</v>
      </c>
      <c r="D26" s="1">
        <v>20</v>
      </c>
      <c r="E26">
        <f>SUMIF(Easter[Product Name],'Lookup sheet'!A26,Easter[[Quantity ]])</f>
        <v>27</v>
      </c>
    </row>
    <row r="27" spans="1:5">
      <c r="A27" t="s">
        <v>93</v>
      </c>
      <c r="B27" t="s">
        <v>190</v>
      </c>
      <c r="C27" t="s">
        <v>182</v>
      </c>
      <c r="D27" s="1">
        <v>50</v>
      </c>
      <c r="E27">
        <f>SUMIF(Easter[Product Name],'Lookup sheet'!A27,Easter[[Quantity ]])</f>
        <v>10</v>
      </c>
    </row>
    <row r="28" spans="1:5">
      <c r="A28" t="s">
        <v>52</v>
      </c>
      <c r="B28" t="s">
        <v>189</v>
      </c>
      <c r="C28" t="s">
        <v>182</v>
      </c>
      <c r="D28" s="1">
        <v>20</v>
      </c>
      <c r="E28">
        <f>SUMIF(Easter[Product Name],'Lookup sheet'!A28,Easter[[Quantity ]])</f>
        <v>6</v>
      </c>
    </row>
    <row r="29" spans="1:5">
      <c r="A29" t="s">
        <v>60</v>
      </c>
      <c r="B29" t="s">
        <v>191</v>
      </c>
      <c r="C29" t="s">
        <v>180</v>
      </c>
      <c r="D29" s="1">
        <v>130</v>
      </c>
      <c r="E29">
        <f>SUMIF(Easter[Product Name],'Lookup sheet'!A29,Easter[[Quantity ]])</f>
        <v>30</v>
      </c>
    </row>
    <row r="30" spans="1:5">
      <c r="A30" t="s">
        <v>25</v>
      </c>
      <c r="B30" t="s">
        <v>190</v>
      </c>
      <c r="C30" t="s">
        <v>180</v>
      </c>
      <c r="D30" s="1">
        <v>55</v>
      </c>
      <c r="E30">
        <f>SUMIF(Easter[Product Name],'Lookup sheet'!A30,Easter[[Quantity ]])</f>
        <v>90</v>
      </c>
    </row>
    <row r="31" spans="1:5">
      <c r="A31" s="66" t="s">
        <v>62</v>
      </c>
      <c r="B31" t="s">
        <v>189</v>
      </c>
      <c r="C31" t="s">
        <v>180</v>
      </c>
      <c r="D31" s="1">
        <v>25</v>
      </c>
      <c r="E31">
        <f>SUMIF(Easter[Product Name],'Lookup sheet'!A31,Easter[[Quantity ]])</f>
        <v>91</v>
      </c>
    </row>
  </sheetData>
  <sheetProtection algorithmName="SHA-512" hashValue="F9pyX6WYgzLFmECOkEtsnsiZj2WiQ1At8DNIQOCHhPn/MaKi13sNgF/grgOgQKN9OGt1uvIJJpfWKTwa+bNTOA==" saltValue="/EIYlgYm6kM16FYrzQLbmg==" spinCount="100000" sheet="1" formatCells="0" formatColumns="0" formatRows="0" insertColumns="0" insertRows="0" insertHyperlinks="0" deleteColumns="0" deleteRows="0" sort="0" autoFilter="0" pivotTables="0"/>
  <sortState xmlns:xlrd2="http://schemas.microsoft.com/office/spreadsheetml/2017/richdata2" ref="A2:E31">
    <sortCondition ref="A2:A3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34C9-23E6-492C-9566-925FACC22862}">
  <sheetPr>
    <tabColor rgb="FFFF0000"/>
  </sheetPr>
  <dimension ref="A1:J10"/>
  <sheetViews>
    <sheetView tabSelected="1" workbookViewId="0">
      <selection activeCell="G5" sqref="G5"/>
    </sheetView>
  </sheetViews>
  <sheetFormatPr defaultRowHeight="15"/>
  <cols>
    <col min="1" max="1" width="16.140625" bestFit="1" customWidth="1"/>
    <col min="4" max="4" width="7.140625" customWidth="1"/>
    <col min="5" max="5" width="13.7109375" bestFit="1" customWidth="1"/>
    <col min="6" max="6" width="10.28515625" bestFit="1" customWidth="1"/>
    <col min="7" max="7" width="6.5703125" bestFit="1" customWidth="1"/>
    <col min="8" max="8" width="12.42578125" bestFit="1" customWidth="1"/>
    <col min="9" max="9" width="10.28515625" bestFit="1" customWidth="1"/>
    <col min="10" max="10" width="14.85546875" bestFit="1" customWidth="1"/>
    <col min="16" max="16" width="15.5703125" bestFit="1" customWidth="1"/>
    <col min="17" max="17" width="11.85546875" bestFit="1" customWidth="1"/>
    <col min="19" max="19" width="16.5703125" bestFit="1" customWidth="1"/>
    <col min="20" max="20" width="14" customWidth="1"/>
    <col min="21" max="21" width="10" bestFit="1" customWidth="1"/>
    <col min="22" max="22" width="15.42578125" bestFit="1" customWidth="1"/>
  </cols>
  <sheetData>
    <row r="1" spans="1:10">
      <c r="A1" s="171" t="s">
        <v>246</v>
      </c>
      <c r="B1" s="171"/>
      <c r="C1" s="7"/>
      <c r="D1" s="171" t="s">
        <v>247</v>
      </c>
      <c r="E1" s="171"/>
      <c r="F1" s="7"/>
      <c r="G1" s="171" t="s">
        <v>248</v>
      </c>
      <c r="H1" s="171"/>
      <c r="I1" s="171"/>
      <c r="J1" s="171"/>
    </row>
    <row r="2" spans="1:10">
      <c r="A2" s="159" t="s">
        <v>249</v>
      </c>
      <c r="B2" s="95" t="s">
        <v>250</v>
      </c>
      <c r="C2" s="7"/>
      <c r="D2" s="95" t="s">
        <v>7</v>
      </c>
      <c r="E2" s="95" t="s">
        <v>251</v>
      </c>
      <c r="F2" s="7"/>
      <c r="G2" s="95" t="s">
        <v>252</v>
      </c>
      <c r="H2" s="160" t="s">
        <v>253</v>
      </c>
      <c r="I2" s="160" t="s">
        <v>254</v>
      </c>
      <c r="J2" s="95" t="s">
        <v>255</v>
      </c>
    </row>
    <row r="3" spans="1:10">
      <c r="A3" s="72" t="s">
        <v>46</v>
      </c>
      <c r="B3" s="168">
        <f>SUMIF('Order sheet'!$J$6:$J$352,"UPI Sarah",Easter[Total Payment])</f>
        <v>29625</v>
      </c>
      <c r="C3" s="7"/>
      <c r="D3" s="72" t="s">
        <v>22</v>
      </c>
      <c r="E3" s="161">
        <v>3846</v>
      </c>
      <c r="F3" s="7"/>
      <c r="G3" s="72" t="s">
        <v>22</v>
      </c>
      <c r="H3" s="167">
        <f>B4+B5</f>
        <v>57030</v>
      </c>
      <c r="I3" s="167">
        <f>H3-E3</f>
        <v>53184</v>
      </c>
      <c r="J3" s="169">
        <f>D8-I3</f>
        <v>-22611</v>
      </c>
    </row>
    <row r="4" spans="1:10">
      <c r="A4" s="72" t="s">
        <v>23</v>
      </c>
      <c r="B4" s="168">
        <f>SUMIF('Order sheet'!$J$6:$J$352,"UPI Anna",Easter[Total Payment])</f>
        <v>41765</v>
      </c>
      <c r="C4" s="7"/>
      <c r="D4" s="72" t="s">
        <v>45</v>
      </c>
      <c r="E4" s="161">
        <v>21663</v>
      </c>
      <c r="F4" s="7"/>
      <c r="G4" s="72" t="s">
        <v>256</v>
      </c>
      <c r="H4" s="167">
        <f>B3</f>
        <v>29625</v>
      </c>
      <c r="I4" s="167">
        <f>H4-E4</f>
        <v>7962</v>
      </c>
      <c r="J4" s="169">
        <f>D8-I4</f>
        <v>22611</v>
      </c>
    </row>
    <row r="5" spans="1:10">
      <c r="A5" s="72" t="s">
        <v>36</v>
      </c>
      <c r="B5" s="168">
        <v>15265</v>
      </c>
      <c r="C5" s="7"/>
      <c r="D5" s="166" t="s">
        <v>179</v>
      </c>
      <c r="E5" s="162">
        <f>SUM(E3:E4)</f>
        <v>25509</v>
      </c>
      <c r="F5" s="7"/>
      <c r="G5" s="7"/>
      <c r="H5" s="7"/>
      <c r="I5" s="7"/>
      <c r="J5" s="7"/>
    </row>
    <row r="6" spans="1:10">
      <c r="A6" s="163" t="s">
        <v>257</v>
      </c>
      <c r="B6" s="164">
        <f>SUMIF('Order sheet'!$J$6:$J$352,"",Easter[Total Payment])</f>
        <v>205</v>
      </c>
      <c r="C6" s="7"/>
      <c r="D6" s="7"/>
      <c r="E6" s="7"/>
      <c r="F6" s="7"/>
      <c r="G6" s="7"/>
      <c r="H6" s="7"/>
      <c r="I6" s="7"/>
      <c r="J6" s="7"/>
    </row>
    <row r="7" spans="1:10">
      <c r="A7" s="166" t="s">
        <v>179</v>
      </c>
      <c r="B7" s="165">
        <f>SUM(B3:B5)</f>
        <v>86655</v>
      </c>
      <c r="C7" s="7"/>
      <c r="D7" s="171" t="s">
        <v>258</v>
      </c>
      <c r="E7" s="171"/>
      <c r="F7" s="7"/>
      <c r="G7" s="7"/>
      <c r="H7" s="7"/>
      <c r="I7" s="7"/>
      <c r="J7" s="7"/>
    </row>
    <row r="8" spans="1:10">
      <c r="A8" s="7"/>
      <c r="B8" s="7"/>
      <c r="C8" s="7"/>
      <c r="D8" s="176">
        <f>A10/2</f>
        <v>30573</v>
      </c>
      <c r="E8" s="176"/>
      <c r="F8" s="7"/>
      <c r="G8" s="7"/>
      <c r="H8" s="7"/>
      <c r="I8" s="7"/>
      <c r="J8" s="7"/>
    </row>
    <row r="9" spans="1:10">
      <c r="A9" s="172" t="s">
        <v>259</v>
      </c>
      <c r="B9" s="173"/>
      <c r="C9" s="7"/>
      <c r="D9" s="7"/>
      <c r="E9" s="7"/>
      <c r="F9" s="7"/>
      <c r="G9" s="7"/>
      <c r="H9" s="7"/>
      <c r="I9" s="7"/>
      <c r="J9" s="7"/>
    </row>
    <row r="10" spans="1:10">
      <c r="A10" s="174">
        <f>B7-E5</f>
        <v>61146</v>
      </c>
      <c r="B10" s="175"/>
      <c r="C10" s="7"/>
      <c r="D10" s="7"/>
      <c r="E10" s="7"/>
      <c r="F10" s="7"/>
      <c r="G10" s="7"/>
      <c r="H10" s="7"/>
      <c r="I10" s="7"/>
      <c r="J10" s="7"/>
    </row>
  </sheetData>
  <mergeCells count="7">
    <mergeCell ref="G1:J1"/>
    <mergeCell ref="A9:B9"/>
    <mergeCell ref="A1:B1"/>
    <mergeCell ref="D1:E1"/>
    <mergeCell ref="A10:B10"/>
    <mergeCell ref="D7:E7"/>
    <mergeCell ref="D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Suhail Ahmed</dc:creator>
  <cp:keywords/>
  <dc:description/>
  <cp:lastModifiedBy/>
  <cp:revision/>
  <dcterms:created xsi:type="dcterms:W3CDTF">2026-03-15T20:58:19Z</dcterms:created>
  <dcterms:modified xsi:type="dcterms:W3CDTF">2026-05-29T05:25:38Z</dcterms:modified>
  <cp:category/>
  <cp:contentStatus/>
</cp:coreProperties>
</file>